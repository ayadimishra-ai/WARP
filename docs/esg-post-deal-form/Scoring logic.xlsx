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Consolidated" sheetId="13" r:id="rId1"/>
    <sheet name="1" sheetId="7" r:id="rId2"/>
    <sheet name="2" sheetId="8" r:id="rId3"/>
    <sheet name="3" sheetId="9" r:id="rId4"/>
    <sheet name="4" sheetId="10" r:id="rId5"/>
    <sheet name="5" sheetId="11" r:id="rId6"/>
  </sheets>
  <calcPr calcId="152511"/>
</workbook>
</file>

<file path=xl/calcChain.xml><?xml version="1.0" encoding="utf-8"?>
<calcChain xmlns="http://schemas.openxmlformats.org/spreadsheetml/2006/main">
  <c r="C2" i="7" l="1"/>
  <c r="G45" i="7" l="1"/>
  <c r="G45" i="8"/>
  <c r="G45" i="9"/>
  <c r="G45" i="10"/>
  <c r="G45" i="11"/>
  <c r="G44" i="11"/>
  <c r="G44" i="10"/>
  <c r="H48" i="8" l="1"/>
  <c r="G48" i="13" s="1"/>
  <c r="H48" i="9"/>
  <c r="I48" i="13" s="1"/>
  <c r="H48" i="10"/>
  <c r="M55" i="13"/>
  <c r="L51" i="13"/>
  <c r="L53" i="13"/>
  <c r="L55" i="13"/>
  <c r="L56" i="13"/>
  <c r="L57" i="13"/>
  <c r="L58" i="13"/>
  <c r="L59" i="13"/>
  <c r="L60" i="13"/>
  <c r="L61" i="13"/>
  <c r="L50" i="13"/>
  <c r="L48" i="13"/>
  <c r="L22" i="13"/>
  <c r="L23" i="13"/>
  <c r="L24" i="13"/>
  <c r="L25" i="13"/>
  <c r="L26" i="13"/>
  <c r="L27" i="13"/>
  <c r="L28" i="13"/>
  <c r="L31" i="13"/>
  <c r="L38" i="13"/>
  <c r="L39" i="13"/>
  <c r="L40" i="13"/>
  <c r="L41" i="13"/>
  <c r="L42" i="13"/>
  <c r="L43" i="13"/>
  <c r="L44" i="13"/>
  <c r="L45" i="13"/>
  <c r="L11" i="13"/>
  <c r="L13" i="13"/>
  <c r="L15" i="13"/>
  <c r="L10" i="13"/>
  <c r="L8" i="13"/>
  <c r="K55" i="13"/>
  <c r="K48" i="13"/>
  <c r="K27" i="13"/>
  <c r="K19" i="13"/>
  <c r="K8" i="13"/>
  <c r="J51" i="13"/>
  <c r="J52" i="13"/>
  <c r="J53" i="13"/>
  <c r="J55" i="13"/>
  <c r="J56" i="13"/>
  <c r="J57" i="13"/>
  <c r="J58" i="13"/>
  <c r="J59" i="13"/>
  <c r="J60" i="13"/>
  <c r="J61" i="13"/>
  <c r="J50" i="13"/>
  <c r="J48" i="13"/>
  <c r="J11" i="13"/>
  <c r="J12" i="13"/>
  <c r="J13" i="13"/>
  <c r="J14" i="13"/>
  <c r="J15" i="13"/>
  <c r="J16" i="13"/>
  <c r="J19" i="13"/>
  <c r="J20" i="13"/>
  <c r="J21" i="13"/>
  <c r="J22" i="13"/>
  <c r="J23" i="13"/>
  <c r="J24" i="13"/>
  <c r="J27" i="13"/>
  <c r="J28" i="13"/>
  <c r="J29" i="13"/>
  <c r="J30" i="13"/>
  <c r="J31" i="13"/>
  <c r="J32" i="13"/>
  <c r="J38" i="13"/>
  <c r="J39" i="13"/>
  <c r="J40" i="13"/>
  <c r="J42" i="13"/>
  <c r="J43" i="13"/>
  <c r="J44" i="13"/>
  <c r="J45" i="13"/>
  <c r="J10" i="13"/>
  <c r="J8" i="13"/>
  <c r="I55" i="13"/>
  <c r="I27" i="13"/>
  <c r="I8" i="13"/>
  <c r="H56" i="13"/>
  <c r="H57" i="13"/>
  <c r="H58" i="13"/>
  <c r="H59" i="13"/>
  <c r="H60" i="13"/>
  <c r="H61" i="13"/>
  <c r="H55" i="13"/>
  <c r="H51" i="13"/>
  <c r="H52" i="13"/>
  <c r="H53" i="13"/>
  <c r="H50" i="13"/>
  <c r="H48" i="13"/>
  <c r="H44" i="13"/>
  <c r="H45" i="13"/>
  <c r="H42" i="13"/>
  <c r="H28" i="13"/>
  <c r="H29" i="13"/>
  <c r="H30" i="13"/>
  <c r="H31" i="13"/>
  <c r="H32" i="13"/>
  <c r="H38" i="13"/>
  <c r="H39" i="13"/>
  <c r="H40" i="13"/>
  <c r="H27" i="13"/>
  <c r="H20" i="13"/>
  <c r="H21" i="13"/>
  <c r="H22" i="13"/>
  <c r="H23" i="13"/>
  <c r="H24" i="13"/>
  <c r="H19" i="13"/>
  <c r="H11" i="13"/>
  <c r="H12" i="13"/>
  <c r="H13" i="13"/>
  <c r="H14" i="13"/>
  <c r="H15" i="13"/>
  <c r="H16" i="13"/>
  <c r="H10" i="13"/>
  <c r="H8" i="13"/>
  <c r="G55" i="13"/>
  <c r="G27" i="13"/>
  <c r="G19" i="13"/>
  <c r="G8" i="13"/>
  <c r="F61" i="13"/>
  <c r="F56" i="13"/>
  <c r="F57" i="13"/>
  <c r="F58" i="13"/>
  <c r="F59" i="13"/>
  <c r="F60" i="13"/>
  <c r="F55" i="13"/>
  <c r="F51" i="13"/>
  <c r="F52" i="13"/>
  <c r="F53" i="13"/>
  <c r="F50" i="13"/>
  <c r="F48" i="13"/>
  <c r="F43" i="13"/>
  <c r="F44" i="13"/>
  <c r="F45" i="13"/>
  <c r="F42" i="13"/>
  <c r="F28" i="13"/>
  <c r="F29" i="13"/>
  <c r="F30" i="13"/>
  <c r="F31" i="13"/>
  <c r="F32" i="13"/>
  <c r="F38" i="13"/>
  <c r="F39" i="13"/>
  <c r="F40" i="13"/>
  <c r="F27" i="13"/>
  <c r="F20" i="13"/>
  <c r="F21" i="13"/>
  <c r="F22" i="13"/>
  <c r="F23" i="13"/>
  <c r="F24" i="13"/>
  <c r="F19" i="13"/>
  <c r="F11" i="13"/>
  <c r="F12" i="13"/>
  <c r="F13" i="13"/>
  <c r="F14" i="13"/>
  <c r="F15" i="13"/>
  <c r="F16" i="13"/>
  <c r="F10" i="13"/>
  <c r="F8" i="13"/>
  <c r="D56" i="13"/>
  <c r="D57" i="13"/>
  <c r="D58" i="13"/>
  <c r="D59" i="13"/>
  <c r="D60" i="13"/>
  <c r="D61" i="13"/>
  <c r="D51" i="13"/>
  <c r="D52" i="13"/>
  <c r="D53" i="13"/>
  <c r="D50" i="13"/>
  <c r="D43" i="13"/>
  <c r="D44" i="13"/>
  <c r="D45" i="13"/>
  <c r="D38" i="13"/>
  <c r="D39" i="13"/>
  <c r="D40" i="13"/>
  <c r="D28" i="13"/>
  <c r="D29" i="13"/>
  <c r="D30" i="13"/>
  <c r="D31" i="13"/>
  <c r="D27" i="13"/>
  <c r="D24" i="13"/>
  <c r="D23" i="13"/>
  <c r="D21" i="13"/>
  <c r="D20" i="13"/>
  <c r="G16" i="8"/>
  <c r="G16" i="9"/>
  <c r="G16" i="10"/>
  <c r="G16" i="7"/>
  <c r="D16" i="13" s="1"/>
  <c r="G16" i="11"/>
  <c r="L16" i="13" s="1"/>
  <c r="G14" i="11"/>
  <c r="L14" i="13" s="1"/>
  <c r="G13" i="7"/>
  <c r="D13" i="13" s="1"/>
  <c r="D14" i="13"/>
  <c r="B5" i="13"/>
  <c r="F4" i="13" l="1"/>
  <c r="D4" i="13"/>
  <c r="F2" i="13"/>
  <c r="E4" i="13"/>
  <c r="D2" i="13"/>
  <c r="G42" i="11"/>
  <c r="G42" i="10"/>
  <c r="G42" i="9"/>
  <c r="G42" i="8"/>
  <c r="G42" i="7"/>
  <c r="D42" i="13" s="1"/>
  <c r="G61" i="11"/>
  <c r="G60" i="11"/>
  <c r="G59" i="11"/>
  <c r="G58" i="11"/>
  <c r="G57" i="11"/>
  <c r="G56" i="11"/>
  <c r="G55" i="11"/>
  <c r="G53" i="11"/>
  <c r="G52" i="11"/>
  <c r="G51" i="11"/>
  <c r="G50" i="11"/>
  <c r="G48" i="11"/>
  <c r="G43" i="11"/>
  <c r="G40" i="11"/>
  <c r="G39" i="11"/>
  <c r="G38" i="11"/>
  <c r="G32" i="11"/>
  <c r="L32" i="13" s="1"/>
  <c r="G31" i="11"/>
  <c r="G30" i="11"/>
  <c r="L30" i="13" s="1"/>
  <c r="G29" i="11"/>
  <c r="L29" i="13" s="1"/>
  <c r="G28" i="11"/>
  <c r="G27" i="11"/>
  <c r="G24" i="11"/>
  <c r="G23" i="11"/>
  <c r="G22" i="11"/>
  <c r="G21" i="11"/>
  <c r="L21" i="13" s="1"/>
  <c r="G20" i="11"/>
  <c r="L20" i="13" s="1"/>
  <c r="G19" i="11"/>
  <c r="L19" i="13" s="1"/>
  <c r="G15" i="11"/>
  <c r="G13" i="11"/>
  <c r="G12" i="11"/>
  <c r="L12" i="13" s="1"/>
  <c r="G11" i="11"/>
  <c r="G10" i="11"/>
  <c r="G8" i="11"/>
  <c r="B5" i="11"/>
  <c r="G61" i="10"/>
  <c r="G60" i="10"/>
  <c r="G59" i="10"/>
  <c r="G58" i="10"/>
  <c r="G57" i="10"/>
  <c r="G56" i="10"/>
  <c r="G55" i="10"/>
  <c r="G53" i="10"/>
  <c r="G52" i="10"/>
  <c r="G51" i="10"/>
  <c r="G50" i="10"/>
  <c r="G48" i="10"/>
  <c r="G43" i="10"/>
  <c r="H42" i="10"/>
  <c r="K42" i="13" s="1"/>
  <c r="F3" i="13" s="1"/>
  <c r="G40" i="10"/>
  <c r="G39" i="10"/>
  <c r="G38" i="10"/>
  <c r="G32" i="10"/>
  <c r="G31" i="10"/>
  <c r="G30" i="10"/>
  <c r="G29" i="10"/>
  <c r="G28" i="10"/>
  <c r="G27" i="10"/>
  <c r="G24" i="10"/>
  <c r="G23" i="10"/>
  <c r="G22" i="10"/>
  <c r="G21" i="10"/>
  <c r="G20" i="10"/>
  <c r="G19" i="10"/>
  <c r="G15" i="10"/>
  <c r="G14" i="10"/>
  <c r="G13" i="10"/>
  <c r="G12" i="10"/>
  <c r="G11" i="10"/>
  <c r="G10" i="10"/>
  <c r="G8" i="10"/>
  <c r="B5" i="10"/>
  <c r="G61" i="9"/>
  <c r="G60" i="9"/>
  <c r="G59" i="9"/>
  <c r="G58" i="9"/>
  <c r="G57" i="9"/>
  <c r="G56" i="9"/>
  <c r="G55" i="9"/>
  <c r="G53" i="9"/>
  <c r="G52" i="9"/>
  <c r="G51" i="9"/>
  <c r="G50" i="9"/>
  <c r="G48" i="9"/>
  <c r="G44" i="9"/>
  <c r="G43" i="9"/>
  <c r="H43" i="13" s="1"/>
  <c r="G40" i="9"/>
  <c r="G39" i="9"/>
  <c r="G38" i="9"/>
  <c r="G32" i="9"/>
  <c r="G31" i="9"/>
  <c r="G30" i="9"/>
  <c r="G29" i="9"/>
  <c r="G28" i="9"/>
  <c r="G27" i="9"/>
  <c r="G24" i="9"/>
  <c r="G23" i="9"/>
  <c r="G22" i="9"/>
  <c r="G21" i="9"/>
  <c r="G20" i="9"/>
  <c r="G19" i="9"/>
  <c r="G15" i="9"/>
  <c r="G14" i="9"/>
  <c r="G13" i="9"/>
  <c r="G12" i="9"/>
  <c r="G11" i="9"/>
  <c r="G10" i="9"/>
  <c r="G8" i="9"/>
  <c r="B5" i="9"/>
  <c r="G61" i="8"/>
  <c r="G60" i="8"/>
  <c r="G59" i="8"/>
  <c r="G58" i="8"/>
  <c r="G57" i="8"/>
  <c r="G56" i="8"/>
  <c r="G55" i="8"/>
  <c r="G53" i="8"/>
  <c r="G52" i="8"/>
  <c r="G51" i="8"/>
  <c r="G50" i="8"/>
  <c r="G48" i="8"/>
  <c r="G44" i="8"/>
  <c r="G43" i="8"/>
  <c r="G40" i="8"/>
  <c r="G39" i="8"/>
  <c r="G38" i="8"/>
  <c r="G32" i="8"/>
  <c r="G31" i="8"/>
  <c r="G30" i="8"/>
  <c r="G29" i="8"/>
  <c r="G28" i="8"/>
  <c r="G27" i="8"/>
  <c r="G24" i="8"/>
  <c r="G23" i="8"/>
  <c r="G22" i="8"/>
  <c r="G21" i="8"/>
  <c r="G20" i="8"/>
  <c r="G19" i="8"/>
  <c r="G15" i="8"/>
  <c r="G14" i="8"/>
  <c r="G13" i="8"/>
  <c r="G12" i="8"/>
  <c r="G11" i="8"/>
  <c r="G10" i="8"/>
  <c r="G8" i="8"/>
  <c r="B5" i="8"/>
  <c r="G61" i="7"/>
  <c r="G60" i="7"/>
  <c r="G59" i="7"/>
  <c r="G58" i="7"/>
  <c r="G57" i="7"/>
  <c r="G56" i="7"/>
  <c r="G55" i="7"/>
  <c r="D55" i="13" s="1"/>
  <c r="G53" i="7"/>
  <c r="G52" i="7"/>
  <c r="G51" i="7"/>
  <c r="G50" i="7"/>
  <c r="G48" i="7"/>
  <c r="G44" i="7"/>
  <c r="G43" i="7"/>
  <c r="G40" i="7"/>
  <c r="G39" i="7"/>
  <c r="G38" i="7"/>
  <c r="G32" i="7"/>
  <c r="D32" i="13" s="1"/>
  <c r="G31" i="7"/>
  <c r="G30" i="7"/>
  <c r="G29" i="7"/>
  <c r="G28" i="7"/>
  <c r="G27" i="7"/>
  <c r="G24" i="7"/>
  <c r="G23" i="7"/>
  <c r="G22" i="7"/>
  <c r="D22" i="13" s="1"/>
  <c r="G21" i="7"/>
  <c r="G20" i="7"/>
  <c r="G19" i="7"/>
  <c r="D19" i="13" s="1"/>
  <c r="G15" i="7"/>
  <c r="D15" i="13" s="1"/>
  <c r="G14" i="7"/>
  <c r="G12" i="7"/>
  <c r="D12" i="13" s="1"/>
  <c r="G11" i="7"/>
  <c r="D11" i="13" s="1"/>
  <c r="G10" i="7"/>
  <c r="D10" i="13" s="1"/>
  <c r="G8" i="7"/>
  <c r="D8" i="13" s="1"/>
  <c r="B5" i="7"/>
  <c r="D48" i="13" l="1"/>
  <c r="H48" i="7"/>
  <c r="E48" i="13" s="1"/>
  <c r="H42" i="7"/>
  <c r="E42" i="13" s="1"/>
  <c r="H48" i="11"/>
  <c r="L52" i="13"/>
  <c r="F5" i="13"/>
  <c r="H55" i="8"/>
  <c r="H55" i="9"/>
  <c r="H55" i="10"/>
  <c r="H55" i="11"/>
  <c r="H55" i="7"/>
  <c r="E55" i="13" s="1"/>
  <c r="C4" i="8"/>
  <c r="H42" i="8"/>
  <c r="G42" i="13" s="1"/>
  <c r="D3" i="13" s="1"/>
  <c r="D5" i="13" s="1"/>
  <c r="H42" i="9"/>
  <c r="I42" i="13" s="1"/>
  <c r="E3" i="13" s="1"/>
  <c r="H42" i="11"/>
  <c r="M42" i="13" s="1"/>
  <c r="H27" i="9"/>
  <c r="H27" i="11"/>
  <c r="M27" i="13" s="1"/>
  <c r="H27" i="7"/>
  <c r="H27" i="10"/>
  <c r="C3" i="10" s="1"/>
  <c r="H27" i="8"/>
  <c r="H19" i="10"/>
  <c r="H19" i="7"/>
  <c r="E19" i="13" s="1"/>
  <c r="H19" i="11"/>
  <c r="M19" i="13" s="1"/>
  <c r="H19" i="9"/>
  <c r="I19" i="13" s="1"/>
  <c r="E2" i="13" s="1"/>
  <c r="H19" i="8"/>
  <c r="H8" i="11"/>
  <c r="H8" i="9"/>
  <c r="H8" i="8"/>
  <c r="H8" i="10"/>
  <c r="H8" i="7"/>
  <c r="E8" i="13" l="1"/>
  <c r="C2" i="13" s="1"/>
  <c r="H63" i="7"/>
  <c r="C4" i="13"/>
  <c r="M48" i="13"/>
  <c r="G4" i="13" s="1"/>
  <c r="C4" i="11"/>
  <c r="G3" i="13"/>
  <c r="C2" i="11"/>
  <c r="M8" i="13"/>
  <c r="G2" i="13" s="1"/>
  <c r="E5" i="13"/>
  <c r="C3" i="7"/>
  <c r="E27" i="13"/>
  <c r="C3" i="13" s="1"/>
  <c r="C2" i="8"/>
  <c r="C2" i="9"/>
  <c r="C3" i="11"/>
  <c r="C2" i="10"/>
  <c r="C4" i="9"/>
  <c r="C4" i="10"/>
  <c r="C4" i="7"/>
  <c r="C3" i="8"/>
  <c r="C3" i="9"/>
  <c r="C5" i="13" l="1"/>
  <c r="G5" i="13"/>
  <c r="C5" i="10"/>
  <c r="C5" i="7"/>
  <c r="C5" i="9"/>
  <c r="C5" i="11"/>
  <c r="C5" i="8"/>
</calcChain>
</file>

<file path=xl/sharedStrings.xml><?xml version="1.0" encoding="utf-8"?>
<sst xmlns="http://schemas.openxmlformats.org/spreadsheetml/2006/main" count="1213" uniqueCount="100">
  <si>
    <t>Responses</t>
  </si>
  <si>
    <t>Yes</t>
  </si>
  <si>
    <t>No</t>
  </si>
  <si>
    <t>Answers</t>
  </si>
  <si>
    <t>Supporting documents</t>
  </si>
  <si>
    <t xml:space="preserve">Employment </t>
  </si>
  <si>
    <t>Total number of new employees hired in the indicated period.</t>
  </si>
  <si>
    <t xml:space="preserve">Numeric response </t>
  </si>
  <si>
    <t>Number of new employees females hired for the indicated period</t>
  </si>
  <si>
    <t xml:space="preserve">Number of new employees males hired for the indicated period </t>
  </si>
  <si>
    <t xml:space="preserve">Number of third gender employees hired for the indicated period </t>
  </si>
  <si>
    <t xml:space="preserve">Rate of tunrnover of the employees for the reporting period (Numbers of employees left/ total strength for the period *100) </t>
  </si>
  <si>
    <t xml:space="preserve">Does Company provides benefits to its full time employees  </t>
  </si>
  <si>
    <t xml:space="preserve">Yes/No </t>
  </si>
  <si>
    <t xml:space="preserve">If yes provide proof </t>
  </si>
  <si>
    <t>20 (5 each point)</t>
  </si>
  <si>
    <t xml:space="preserve">If Yes, Select the options relevant </t>
  </si>
  <si>
    <t xml:space="preserve">Health care </t>
  </si>
  <si>
    <t>Life insurance</t>
  </si>
  <si>
    <t xml:space="preserve">Stock ownership </t>
  </si>
  <si>
    <t xml:space="preserve">Parental leave </t>
  </si>
  <si>
    <t xml:space="preserve">Ratio of contractual to non contractual workforce </t>
  </si>
  <si>
    <t xml:space="preserve">Ratio of permanent employees females to male (time sensitive- yearly information ) </t>
  </si>
  <si>
    <t>Minimum number of weeks’ notice typically provided to employees and their representatives in advance for operational changes</t>
  </si>
  <si>
    <t xml:space="preserve">Child Labour </t>
  </si>
  <si>
    <t>Does the organisation engage person for work below 18 years of age</t>
  </si>
  <si>
    <t xml:space="preserve">Does organisation has any policy against child labour and remediation plan in case anyone found? </t>
  </si>
  <si>
    <t xml:space="preserve">Are there young workers working in the facility? </t>
  </si>
  <si>
    <t xml:space="preserve">In case young workers are employed are they exposed to any hazardous condition </t>
  </si>
  <si>
    <t>Grievance redressal mechanism</t>
  </si>
  <si>
    <t>Yes/No</t>
  </si>
  <si>
    <t xml:space="preserve">If Yes, Specify the process </t>
  </si>
  <si>
    <t xml:space="preserve">Subjective </t>
  </si>
  <si>
    <t xml:space="preserve">Upload SOP </t>
  </si>
  <si>
    <t xml:space="preserve">Name the stakeholders covered under the process </t>
  </si>
  <si>
    <t xml:space="preserve">Is the mechanism communicated to all the stakeholders </t>
  </si>
  <si>
    <t xml:space="preserve">Is training provided to all the stakeholders for  the same </t>
  </si>
  <si>
    <t xml:space="preserve">Numbers of complaints received for the reporting period </t>
  </si>
  <si>
    <t xml:space="preserve">Numeric Response </t>
  </si>
  <si>
    <t>Data privacy and cyber security</t>
  </si>
  <si>
    <t>Does your company have a data protection, information technology or cybersecurity policy?</t>
  </si>
  <si>
    <t xml:space="preserve">Is the policy communicated to all relevant stakeholders </t>
  </si>
  <si>
    <t xml:space="preserve">Is the training conducted on the communication of the same </t>
  </si>
  <si>
    <t xml:space="preserve">Number of hours of training for the same </t>
  </si>
  <si>
    <t>Do you monitor IT security breaches? (Cyber attacks, hacking)</t>
  </si>
  <si>
    <t xml:space="preserve">Number of incident reported for the reporting year </t>
  </si>
  <si>
    <t>Do you monitor IT related incidents? (Major IT shutdown)</t>
  </si>
  <si>
    <t xml:space="preserve">Does our company have a Grievance Redressal mechanism for stakeholders to address their queries and report any concerns? </t>
  </si>
  <si>
    <t>Management system training  (20 Points)</t>
  </si>
  <si>
    <t>ESG Score (%)</t>
  </si>
  <si>
    <t>Does the facility have a management system in place, or is it developing one, to assess environmental risks associated with production?</t>
  </si>
  <si>
    <t>ISO 14001, RC 14001, or EMAS</t>
  </si>
  <si>
    <t>Upload document</t>
  </si>
  <si>
    <t>Is the facility management system in compliance with applicable environmental laws and regulations?</t>
  </si>
  <si>
    <t>Does the facility hold the necessary valid license(s) or permit(s) to operate ?</t>
  </si>
  <si>
    <r>
      <rPr>
        <b/>
        <sz val="11"/>
        <rFont val="Calibri"/>
        <family val="2"/>
        <scheme val="minor"/>
      </rPr>
      <t>License(s) or Permit(s):</t>
    </r>
    <r>
      <rPr>
        <sz val="11"/>
        <rFont val="Calibri"/>
        <family val="2"/>
        <scheme val="minor"/>
      </rPr>
      <t xml:space="preserve">
Air emissions
Storage or use of hazardous substances
Waste water management
Waste issues</t>
    </r>
  </si>
  <si>
    <r>
      <rPr>
        <b/>
        <sz val="11"/>
        <rFont val="Calibri"/>
        <family val="2"/>
        <scheme val="minor"/>
      </rPr>
      <t>Fines, prosecution, or warnings by regulators:</t>
    </r>
    <r>
      <rPr>
        <sz val="11"/>
        <rFont val="Calibri"/>
        <family val="2"/>
        <scheme val="minor"/>
      </rPr>
      <t xml:space="preserve">
 Air emissions
 Storage or use of hazardous substances
Preventing soil &amp; groundwater
contamination
 Wastewater management
 Waste issues</t>
    </r>
  </si>
  <si>
    <t>1.3.1</t>
  </si>
  <si>
    <t>Has the facility been levied with fines, penalty, warning or prosecution in past ? Specify year and details</t>
  </si>
  <si>
    <t>`1.4</t>
  </si>
  <si>
    <t>Are environmental policies, practices, and expectations communicated to all employees and suppliers in local or appropriate languages?</t>
  </si>
  <si>
    <t>Monthly, Quarterly, Half yearly, Annual</t>
  </si>
  <si>
    <t>Does the facility have established environmental targets and objectives to improve environmental performance?</t>
  </si>
  <si>
    <t>If Yes, Specify</t>
  </si>
  <si>
    <t>2. Greenhouse Gas (GHG) Emissions and Energy Usage</t>
  </si>
  <si>
    <t>Does the facility report GHG emissions and climate change strategy to the Carbon Disclosure Project (CDP) or publicly disclose an equivalent amount and type of information on an annual basis?</t>
  </si>
  <si>
    <t>What is the frequency of monitoring, tracking energy consumption and conducting onsite energy audits of the facility?</t>
  </si>
  <si>
    <t xml:space="preserve">Specify programs and procedures in place to reduce the use of energy </t>
  </si>
  <si>
    <t>Specify the GHG emissions targets for the facility if any ?</t>
  </si>
  <si>
    <t>Numeric Response</t>
  </si>
  <si>
    <t>What is the total annual GHG emissions in the most recent year measured (enter in total metric tons CO2e)?</t>
  </si>
  <si>
    <t>Does the facility have set goals and targets in relation to energy efficiency?</t>
  </si>
  <si>
    <t xml:space="preserve"> If yes, Specify certification ? </t>
  </si>
  <si>
    <t>Drop down for the same to be provided (Multi select)</t>
  </si>
  <si>
    <t>Number of ticks/selection</t>
  </si>
  <si>
    <t>Yes/No
Provide proof (Uploads)</t>
  </si>
  <si>
    <t>Do you have a training Awareness Programs of employess for awareness related to Environment? Frequency</t>
  </si>
  <si>
    <t>Does the facility review its environmental performance? If yes How often</t>
  </si>
  <si>
    <t>Numeric entry</t>
  </si>
  <si>
    <t>Numeric</t>
  </si>
  <si>
    <t>Yes/No 
Upload Policy</t>
  </si>
  <si>
    <t>1.1.1</t>
  </si>
  <si>
    <t>Yes/No/WIP 
Upload Policy</t>
  </si>
  <si>
    <t>Governance</t>
  </si>
  <si>
    <t>Social</t>
  </si>
  <si>
    <t>Environment</t>
  </si>
  <si>
    <t>Total</t>
  </si>
  <si>
    <t>Annual</t>
  </si>
  <si>
    <t>Monthly</t>
  </si>
  <si>
    <t>Quarterly</t>
  </si>
  <si>
    <t>Half Yearly</t>
  </si>
  <si>
    <t>WIP</t>
  </si>
  <si>
    <t>g</t>
  </si>
  <si>
    <t>Weightage</t>
  </si>
  <si>
    <t>t</t>
  </si>
  <si>
    <t>Dropdown data source missing</t>
  </si>
  <si>
    <t>What will be the process options and input type (Fileupload)</t>
  </si>
  <si>
    <t>What will be the process options and input type (NumberField)</t>
  </si>
  <si>
    <t>Is specify details will be text field ? (Wiziwig)</t>
  </si>
  <si>
    <t>What will be the input type (Tags)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</si>
</sst>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Font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0" fillId="0" borderId="1" xfId="0" applyFont="1" applyBorder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9" fillId="7" borderId="0" xfId="0" applyFont="1" applyFill="1" applyAlignment="1">
      <alignment horizontal="center" vertical="center"/>
    </xf>
    <xf numFmtId="0" fontId="0" fillId="0" borderId="2" xfId="0" applyFont="1" applyBorder="1" applyAlignment="1">
      <alignment horizontal="right" vertical="center"/>
    </xf>
    <xf numFmtId="0" fontId="0" fillId="9" borderId="0" xfId="0" applyFill="1"/>
    <xf numFmtId="164" fontId="1" fillId="2" borderId="0" xfId="0" applyNumberFormat="1" applyFont="1" applyFill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1" xfId="0" applyFont="1" applyFill="1" applyBorder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wrapText="1"/>
    </xf>
    <xf numFmtId="0" fontId="0" fillId="11" borderId="1" xfId="0" applyFont="1" applyFill="1" applyBorder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12" borderId="0" xfId="0" applyFill="1"/>
    <xf numFmtId="0" fontId="0" fillId="12" borderId="0" xfId="0" applyFill="1" applyAlignment="1">
      <alignment wrapText="1"/>
    </xf>
    <xf numFmtId="0" fontId="0" fillId="12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wrapText="1"/>
    </xf>
    <xf numFmtId="0" fontId="0" fillId="13" borderId="1" xfId="0" applyFont="1" applyFill="1" applyBorder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4" borderId="0" xfId="0" applyFill="1"/>
    <xf numFmtId="0" fontId="0" fillId="14" borderId="0" xfId="0" applyFill="1" applyAlignment="1">
      <alignment wrapText="1"/>
    </xf>
    <xf numFmtId="0" fontId="0" fillId="14" borderId="1" xfId="0" applyFont="1" applyFill="1" applyBorder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0" fillId="15" borderId="0" xfId="0" applyFill="1"/>
    <xf numFmtId="0" fontId="7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wrapText="1"/>
    </xf>
    <xf numFmtId="0" fontId="9" fillId="15" borderId="0" xfId="0" applyFont="1" applyFill="1" applyAlignment="1">
      <alignment horizontal="center" vertical="center"/>
    </xf>
    <xf numFmtId="0" fontId="7" fillId="15" borderId="0" xfId="0" applyFont="1" applyFill="1"/>
    <xf numFmtId="0" fontId="0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wrapText="1"/>
    </xf>
    <xf numFmtId="0" fontId="0" fillId="15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/>
    </xf>
    <xf numFmtId="0" fontId="0" fillId="15" borderId="0" xfId="0" applyFill="1" applyAlignment="1">
      <alignment wrapText="1"/>
    </xf>
    <xf numFmtId="0" fontId="7" fillId="6" borderId="0" xfId="0" applyFont="1" applyFill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left" vertical="top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selection activeCell="R13" sqref="R13"/>
    </sheetView>
  </sheetViews>
  <sheetFormatPr defaultRowHeight="15" x14ac:dyDescent="0.25"/>
  <cols>
    <col min="1" max="1" width="12.42578125" bestFit="1" customWidth="1"/>
    <col min="2" max="2" width="12.140625" customWidth="1"/>
    <col min="3" max="3" width="57.42578125" customWidth="1"/>
    <col min="5" max="5" width="8.85546875" customWidth="1"/>
    <col min="7" max="7" width="10.140625" bestFit="1" customWidth="1"/>
    <col min="13" max="13" width="10.140625" bestFit="1" customWidth="1"/>
  </cols>
  <sheetData>
    <row r="1" spans="1:15" ht="14.45" customHeight="1" x14ac:dyDescent="0.25">
      <c r="B1" t="s">
        <v>93</v>
      </c>
      <c r="C1" s="53">
        <v>1</v>
      </c>
      <c r="D1" s="54">
        <v>2</v>
      </c>
      <c r="E1" s="64">
        <v>3</v>
      </c>
      <c r="F1" s="69">
        <v>4</v>
      </c>
      <c r="G1" s="59">
        <v>5</v>
      </c>
    </row>
    <row r="2" spans="1:15" ht="14.45" customHeight="1" x14ac:dyDescent="0.25">
      <c r="A2" s="46" t="s">
        <v>85</v>
      </c>
      <c r="B2">
        <v>40</v>
      </c>
      <c r="C2" s="74">
        <f>(E8+E19)*($B$2/100)</f>
        <v>11.280000000000001</v>
      </c>
      <c r="D2" s="75">
        <f>(G8+G19)*($B$2/100)</f>
        <v>4.08</v>
      </c>
      <c r="E2" s="76">
        <f>(I8+I19)*($B$2/100)</f>
        <v>6.32</v>
      </c>
      <c r="F2" s="77">
        <f>(K8+K19)*($B$2/100)</f>
        <v>4.8000000000000007</v>
      </c>
      <c r="G2" s="78">
        <f>(M8+M19)*($B$2/100)</f>
        <v>14</v>
      </c>
    </row>
    <row r="3" spans="1:15" x14ac:dyDescent="0.25">
      <c r="A3" s="44" t="s">
        <v>84</v>
      </c>
      <c r="B3">
        <v>30</v>
      </c>
      <c r="C3" s="74">
        <f>(E27+E42)*($B$3/100)</f>
        <v>7.26</v>
      </c>
      <c r="D3" s="75">
        <f>(G27+G42)*($B$3/100)</f>
        <v>1.77</v>
      </c>
      <c r="E3" s="76">
        <f>(I27+I42)*($B$3/100)</f>
        <v>2.97</v>
      </c>
      <c r="F3" s="77">
        <f>(K27+K42)*($B$3/100)</f>
        <v>1.2</v>
      </c>
      <c r="G3" s="78">
        <f>(M27+M42)*($B$3/100)</f>
        <v>4.5</v>
      </c>
    </row>
    <row r="4" spans="1:15" x14ac:dyDescent="0.25">
      <c r="A4" s="11" t="s">
        <v>83</v>
      </c>
      <c r="B4">
        <v>30</v>
      </c>
      <c r="C4" s="74">
        <f>(E48+E55)*($B$4/100)</f>
        <v>4.5</v>
      </c>
      <c r="D4" s="75">
        <f>(G48+G55)*($B$4/100)</f>
        <v>4.8600000000000003</v>
      </c>
      <c r="E4" s="76">
        <f>(I48+I55)*($B$4/100)</f>
        <v>2.4</v>
      </c>
      <c r="F4" s="77">
        <f>(K48+K55)*($B$4/100)</f>
        <v>4.9800000000000004</v>
      </c>
      <c r="G4" s="78">
        <f>(M48+M55)*($B$4/100)</f>
        <v>12</v>
      </c>
    </row>
    <row r="5" spans="1:15" x14ac:dyDescent="0.25">
      <c r="A5" s="43" t="s">
        <v>86</v>
      </c>
      <c r="B5">
        <f>SUM(B2:B4)</f>
        <v>100</v>
      </c>
      <c r="C5" s="74">
        <f>SUM(C2:C4)</f>
        <v>23.04</v>
      </c>
      <c r="D5" s="75">
        <f t="shared" ref="D5:G5" si="0">SUM(D2:D4)</f>
        <v>10.71</v>
      </c>
      <c r="E5" s="76">
        <f t="shared" si="0"/>
        <v>11.690000000000001</v>
      </c>
      <c r="F5" s="77">
        <f t="shared" si="0"/>
        <v>10.98</v>
      </c>
      <c r="G5" s="78">
        <f t="shared" si="0"/>
        <v>30.5</v>
      </c>
    </row>
    <row r="7" spans="1:15" x14ac:dyDescent="0.25">
      <c r="A7" t="s">
        <v>85</v>
      </c>
      <c r="B7" s="46">
        <v>1</v>
      </c>
      <c r="C7" s="22" t="s">
        <v>48</v>
      </c>
      <c r="D7" s="144">
        <v>1</v>
      </c>
      <c r="E7" s="144"/>
      <c r="F7" s="145">
        <v>2</v>
      </c>
      <c r="G7" s="145"/>
      <c r="H7" s="146">
        <v>3</v>
      </c>
      <c r="I7" s="146"/>
      <c r="J7" s="147">
        <v>4</v>
      </c>
      <c r="K7" s="147"/>
      <c r="L7" s="148">
        <v>5</v>
      </c>
      <c r="M7" s="148"/>
      <c r="N7" s="141" t="s">
        <v>49</v>
      </c>
      <c r="O7" s="141"/>
    </row>
    <row r="8" spans="1:15" ht="45" x14ac:dyDescent="0.25">
      <c r="A8" t="s">
        <v>85</v>
      </c>
      <c r="B8" s="48">
        <v>1.1000000000000001</v>
      </c>
      <c r="C8" s="24" t="s">
        <v>50</v>
      </c>
      <c r="D8" s="94">
        <f>'1'!G8:G9</f>
        <v>10</v>
      </c>
      <c r="E8" s="94">
        <f>'1'!H8:H17</f>
        <v>28.2</v>
      </c>
      <c r="F8" s="95">
        <f>'2'!G8:G9</f>
        <v>5</v>
      </c>
      <c r="G8" s="95">
        <f>'2'!H8:H17</f>
        <v>4.2</v>
      </c>
      <c r="H8" s="96">
        <f>'3'!G8:G9</f>
        <v>10</v>
      </c>
      <c r="I8" s="96">
        <f>'3'!H8:H17</f>
        <v>8</v>
      </c>
      <c r="J8" s="93">
        <f>'4'!G8:G9</f>
        <v>5</v>
      </c>
      <c r="K8" s="93">
        <f>'4'!H8:H17</f>
        <v>8.4</v>
      </c>
      <c r="L8" s="126">
        <f>'5'!G8:G9</f>
        <v>10</v>
      </c>
      <c r="M8" s="126">
        <f>'5'!H8:H17</f>
        <v>20</v>
      </c>
      <c r="N8" s="48">
        <v>10</v>
      </c>
      <c r="O8" s="142">
        <v>20</v>
      </c>
    </row>
    <row r="9" spans="1:15" ht="14.45" customHeight="1" x14ac:dyDescent="0.25">
      <c r="A9" t="s">
        <v>85</v>
      </c>
      <c r="B9" s="48"/>
      <c r="C9" s="24" t="s">
        <v>72</v>
      </c>
      <c r="D9" s="94"/>
      <c r="E9" s="94"/>
      <c r="F9" s="95"/>
      <c r="G9" s="95"/>
      <c r="H9" s="96"/>
      <c r="I9" s="96"/>
      <c r="J9" s="93"/>
      <c r="K9" s="93"/>
      <c r="L9" s="126"/>
      <c r="M9" s="126"/>
      <c r="N9" s="48"/>
      <c r="O9" s="142"/>
    </row>
    <row r="10" spans="1:15" ht="30" x14ac:dyDescent="0.25">
      <c r="A10" t="s">
        <v>85</v>
      </c>
      <c r="B10" s="28">
        <v>1.2</v>
      </c>
      <c r="C10" s="24" t="s">
        <v>53</v>
      </c>
      <c r="D10" s="49">
        <f>'1'!G10</f>
        <v>0</v>
      </c>
      <c r="E10" s="94"/>
      <c r="F10" s="55">
        <f>'2'!G10</f>
        <v>0</v>
      </c>
      <c r="G10" s="95"/>
      <c r="H10" s="65">
        <f>'3'!G10</f>
        <v>0</v>
      </c>
      <c r="I10" s="96"/>
      <c r="J10" s="70">
        <f>'4'!G10</f>
        <v>0</v>
      </c>
      <c r="K10" s="93"/>
      <c r="L10" s="60">
        <f>'5'!G10</f>
        <v>20</v>
      </c>
      <c r="M10" s="126"/>
      <c r="N10" s="48">
        <v>20</v>
      </c>
      <c r="O10" s="142"/>
    </row>
    <row r="11" spans="1:15" ht="30" x14ac:dyDescent="0.25">
      <c r="A11" t="s">
        <v>85</v>
      </c>
      <c r="B11" s="48">
        <v>1.3</v>
      </c>
      <c r="C11" s="29" t="s">
        <v>54</v>
      </c>
      <c r="D11" s="49">
        <f>'1'!G11</f>
        <v>15</v>
      </c>
      <c r="E11" s="94"/>
      <c r="F11" s="55">
        <f>'2'!G11</f>
        <v>8</v>
      </c>
      <c r="G11" s="95"/>
      <c r="H11" s="65">
        <f>'3'!G11</f>
        <v>15</v>
      </c>
      <c r="I11" s="96"/>
      <c r="J11" s="70">
        <f>'4'!G11</f>
        <v>20</v>
      </c>
      <c r="K11" s="93"/>
      <c r="L11" s="60">
        <f>'5'!G11</f>
        <v>20</v>
      </c>
      <c r="M11" s="126"/>
      <c r="N11" s="32">
        <v>20</v>
      </c>
      <c r="O11" s="142"/>
    </row>
    <row r="12" spans="1:15" ht="30" x14ac:dyDescent="0.25">
      <c r="A12" t="s">
        <v>85</v>
      </c>
      <c r="B12" s="48" t="s">
        <v>57</v>
      </c>
      <c r="C12" s="29" t="s">
        <v>58</v>
      </c>
      <c r="D12" s="49">
        <f>'1'!G12</f>
        <v>10</v>
      </c>
      <c r="E12" s="94"/>
      <c r="F12" s="55">
        <f>'2'!G12</f>
        <v>0</v>
      </c>
      <c r="G12" s="95"/>
      <c r="H12" s="65">
        <f>'3'!G12</f>
        <v>0</v>
      </c>
      <c r="I12" s="96"/>
      <c r="J12" s="70">
        <f>'4'!G12</f>
        <v>0</v>
      </c>
      <c r="K12" s="93"/>
      <c r="L12" s="60">
        <f>'5'!G12</f>
        <v>10</v>
      </c>
      <c r="M12" s="126"/>
      <c r="N12" s="32">
        <v>10</v>
      </c>
      <c r="O12" s="142"/>
    </row>
    <row r="13" spans="1:15" ht="45" x14ac:dyDescent="0.25">
      <c r="A13" t="s">
        <v>85</v>
      </c>
      <c r="B13" s="48" t="s">
        <v>59</v>
      </c>
      <c r="C13" s="24" t="s">
        <v>60</v>
      </c>
      <c r="D13" s="49">
        <f>'1'!G13</f>
        <v>0</v>
      </c>
      <c r="E13" s="94"/>
      <c r="F13" s="55">
        <f>'2'!G13</f>
        <v>5</v>
      </c>
      <c r="G13" s="95"/>
      <c r="H13" s="65">
        <f>'3'!G13</f>
        <v>0</v>
      </c>
      <c r="I13" s="96"/>
      <c r="J13" s="70">
        <f>'4'!G13</f>
        <v>5</v>
      </c>
      <c r="K13" s="93"/>
      <c r="L13" s="60">
        <f>'5'!G13</f>
        <v>10</v>
      </c>
      <c r="M13" s="126"/>
      <c r="N13" s="48">
        <v>10</v>
      </c>
      <c r="O13" s="142"/>
    </row>
    <row r="14" spans="1:15" ht="30" x14ac:dyDescent="0.25">
      <c r="A14" t="s">
        <v>85</v>
      </c>
      <c r="B14" s="48">
        <v>1.6</v>
      </c>
      <c r="C14" s="24" t="s">
        <v>76</v>
      </c>
      <c r="D14" s="49">
        <f>'1'!G14</f>
        <v>5</v>
      </c>
      <c r="E14" s="94"/>
      <c r="F14" s="55">
        <f>'2'!G14</f>
        <v>0</v>
      </c>
      <c r="G14" s="95"/>
      <c r="H14" s="65">
        <f>'3'!G14</f>
        <v>5</v>
      </c>
      <c r="I14" s="96"/>
      <c r="J14" s="70">
        <f>'4'!G14</f>
        <v>3</v>
      </c>
      <c r="K14" s="93"/>
      <c r="L14" s="60">
        <f>'5'!G14</f>
        <v>10</v>
      </c>
      <c r="M14" s="126"/>
      <c r="N14" s="48">
        <v>10</v>
      </c>
      <c r="O14" s="142"/>
    </row>
    <row r="15" spans="1:15" ht="30" x14ac:dyDescent="0.25">
      <c r="A15" t="s">
        <v>85</v>
      </c>
      <c r="B15" s="48">
        <v>1.7</v>
      </c>
      <c r="C15" s="24" t="s">
        <v>62</v>
      </c>
      <c r="D15" s="49">
        <f>'1'!G15</f>
        <v>0</v>
      </c>
      <c r="E15" s="94"/>
      <c r="F15" s="55">
        <f>'2'!G15</f>
        <v>0</v>
      </c>
      <c r="G15" s="95"/>
      <c r="H15" s="65">
        <f>'3'!G15</f>
        <v>10</v>
      </c>
      <c r="I15" s="96"/>
      <c r="J15" s="70">
        <f>'4'!G15</f>
        <v>0</v>
      </c>
      <c r="K15" s="93"/>
      <c r="L15" s="60">
        <f>'5'!G15</f>
        <v>10</v>
      </c>
      <c r="M15" s="126"/>
      <c r="N15" s="48">
        <v>10</v>
      </c>
      <c r="O15" s="142"/>
    </row>
    <row r="16" spans="1:15" ht="30" x14ac:dyDescent="0.25">
      <c r="A16" t="s">
        <v>85</v>
      </c>
      <c r="B16" s="48">
        <v>1.8</v>
      </c>
      <c r="C16" s="24" t="s">
        <v>77</v>
      </c>
      <c r="D16" s="49">
        <f>'1'!G16</f>
        <v>7</v>
      </c>
      <c r="E16" s="94"/>
      <c r="F16" s="55">
        <f>'2'!G16</f>
        <v>3</v>
      </c>
      <c r="G16" s="95"/>
      <c r="H16" s="65">
        <f>'3'!G16</f>
        <v>0</v>
      </c>
      <c r="I16" s="96"/>
      <c r="J16" s="70">
        <f>'4'!G16</f>
        <v>9</v>
      </c>
      <c r="K16" s="93"/>
      <c r="L16" s="60">
        <f>'5'!G16</f>
        <v>10</v>
      </c>
      <c r="M16" s="126"/>
      <c r="N16" s="48">
        <v>10</v>
      </c>
      <c r="O16" s="142"/>
    </row>
    <row r="17" spans="1:15" ht="18.75" x14ac:dyDescent="0.25">
      <c r="A17" t="s">
        <v>85</v>
      </c>
      <c r="B17" s="48"/>
      <c r="C17" s="24"/>
      <c r="D17" s="49"/>
      <c r="E17" s="94"/>
      <c r="F17" s="55"/>
      <c r="G17" s="95"/>
      <c r="H17" s="65"/>
      <c r="I17" s="96"/>
      <c r="J17" s="70"/>
      <c r="K17" s="93"/>
      <c r="L17" s="60"/>
      <c r="M17" s="126"/>
      <c r="N17" s="26"/>
      <c r="O17" s="26"/>
    </row>
    <row r="18" spans="1:15" ht="18.75" x14ac:dyDescent="0.25">
      <c r="A18" t="s">
        <v>85</v>
      </c>
      <c r="B18" s="143" t="s">
        <v>64</v>
      </c>
      <c r="C18" s="143"/>
      <c r="D18" s="49"/>
      <c r="E18" s="49"/>
      <c r="F18" s="55"/>
      <c r="G18" s="55"/>
      <c r="H18" s="65"/>
      <c r="I18" s="65"/>
      <c r="J18" s="70"/>
      <c r="K18" s="70"/>
      <c r="L18" s="60"/>
      <c r="M18" s="60"/>
      <c r="N18" s="22"/>
      <c r="O18" s="22"/>
    </row>
    <row r="19" spans="1:15" ht="60" x14ac:dyDescent="0.25">
      <c r="A19" t="s">
        <v>85</v>
      </c>
      <c r="B19" s="33">
        <v>2.1</v>
      </c>
      <c r="C19" s="24" t="s">
        <v>65</v>
      </c>
      <c r="D19" s="49">
        <f>'1'!G19</f>
        <v>0</v>
      </c>
      <c r="E19" s="94">
        <f>'1'!H19:H24</f>
        <v>0</v>
      </c>
      <c r="F19" s="55">
        <f>'2'!G19</f>
        <v>15</v>
      </c>
      <c r="G19" s="95">
        <f>'2'!H19:H24</f>
        <v>6</v>
      </c>
      <c r="H19" s="65">
        <f>'3'!G19</f>
        <v>15</v>
      </c>
      <c r="I19" s="96">
        <f>'3'!H19:H24</f>
        <v>7.8</v>
      </c>
      <c r="J19" s="70">
        <f>'4'!G19</f>
        <v>0</v>
      </c>
      <c r="K19" s="93">
        <f>'4'!H19:H24</f>
        <v>3.5999999999999996</v>
      </c>
      <c r="L19" s="60">
        <f>'5'!G19</f>
        <v>30</v>
      </c>
      <c r="M19" s="126">
        <f>'5'!H19:H24</f>
        <v>15</v>
      </c>
      <c r="N19" s="34">
        <v>30</v>
      </c>
      <c r="O19" s="128">
        <v>15</v>
      </c>
    </row>
    <row r="20" spans="1:15" ht="45" x14ac:dyDescent="0.25">
      <c r="A20" t="s">
        <v>85</v>
      </c>
      <c r="B20" s="48">
        <v>2.2000000000000002</v>
      </c>
      <c r="C20" s="24" t="s">
        <v>66</v>
      </c>
      <c r="D20" s="49">
        <f>'1'!G20</f>
        <v>0</v>
      </c>
      <c r="E20" s="94"/>
      <c r="F20" s="55">
        <f>'2'!G20</f>
        <v>15</v>
      </c>
      <c r="G20" s="95"/>
      <c r="H20" s="65">
        <f>'3'!G20</f>
        <v>12</v>
      </c>
      <c r="I20" s="96"/>
      <c r="J20" s="70">
        <f>'4'!G20</f>
        <v>9</v>
      </c>
      <c r="K20" s="93"/>
      <c r="L20" s="60">
        <f>'5'!G20</f>
        <v>15</v>
      </c>
      <c r="M20" s="126"/>
      <c r="N20" s="26">
        <v>15</v>
      </c>
      <c r="O20" s="128"/>
    </row>
    <row r="21" spans="1:15" ht="30" x14ac:dyDescent="0.25">
      <c r="A21" t="s">
        <v>85</v>
      </c>
      <c r="B21" s="48">
        <v>2.2999999999999998</v>
      </c>
      <c r="C21" s="24" t="s">
        <v>67</v>
      </c>
      <c r="D21" s="49">
        <f>'1'!G21</f>
        <v>0</v>
      </c>
      <c r="E21" s="94"/>
      <c r="F21" s="55">
        <f>'2'!G21</f>
        <v>0</v>
      </c>
      <c r="G21" s="95"/>
      <c r="H21" s="65">
        <f>'3'!G21</f>
        <v>0</v>
      </c>
      <c r="I21" s="96"/>
      <c r="J21" s="70">
        <f>'4'!G21</f>
        <v>0</v>
      </c>
      <c r="K21" s="93"/>
      <c r="L21" s="60">
        <f>'5'!G21</f>
        <v>20</v>
      </c>
      <c r="M21" s="126"/>
      <c r="N21" s="26">
        <v>20</v>
      </c>
      <c r="O21" s="128"/>
    </row>
    <row r="22" spans="1:15" ht="18.75" x14ac:dyDescent="0.25">
      <c r="A22" t="s">
        <v>85</v>
      </c>
      <c r="B22" s="48">
        <v>2.4</v>
      </c>
      <c r="C22" s="24" t="s">
        <v>68</v>
      </c>
      <c r="D22" s="49">
        <f>'1'!G22</f>
        <v>0</v>
      </c>
      <c r="E22" s="94"/>
      <c r="F22" s="55">
        <f>'2'!G22</f>
        <v>0</v>
      </c>
      <c r="G22" s="95"/>
      <c r="H22" s="65">
        <f>'3'!G22</f>
        <v>10</v>
      </c>
      <c r="I22" s="96"/>
      <c r="J22" s="70">
        <f>'4'!G22</f>
        <v>0</v>
      </c>
      <c r="K22" s="93"/>
      <c r="L22" s="60">
        <f>'5'!G22</f>
        <v>10</v>
      </c>
      <c r="M22" s="126"/>
      <c r="N22" s="26">
        <v>10</v>
      </c>
      <c r="O22" s="128"/>
    </row>
    <row r="23" spans="1:15" ht="30" x14ac:dyDescent="0.25">
      <c r="A23" t="s">
        <v>85</v>
      </c>
      <c r="B23" s="48">
        <v>2.5</v>
      </c>
      <c r="C23" s="24" t="s">
        <v>70</v>
      </c>
      <c r="D23" s="49">
        <f>'1'!G23</f>
        <v>0</v>
      </c>
      <c r="E23" s="94"/>
      <c r="F23" s="55">
        <f>'2'!G23</f>
        <v>10</v>
      </c>
      <c r="G23" s="95"/>
      <c r="H23" s="65">
        <f>'3'!G23</f>
        <v>0</v>
      </c>
      <c r="I23" s="96"/>
      <c r="J23" s="70">
        <f>'4'!G23</f>
        <v>0</v>
      </c>
      <c r="K23" s="93"/>
      <c r="L23" s="60">
        <f>'5'!G23</f>
        <v>10</v>
      </c>
      <c r="M23" s="126"/>
      <c r="N23" s="26">
        <v>10</v>
      </c>
      <c r="O23" s="128"/>
    </row>
    <row r="24" spans="1:15" ht="30" x14ac:dyDescent="0.25">
      <c r="A24" t="s">
        <v>85</v>
      </c>
      <c r="B24" s="48">
        <v>2.6</v>
      </c>
      <c r="C24" s="24" t="s">
        <v>71</v>
      </c>
      <c r="D24" s="49">
        <f>'1'!G24</f>
        <v>0</v>
      </c>
      <c r="E24" s="94"/>
      <c r="F24" s="55">
        <f>'2'!G24</f>
        <v>0</v>
      </c>
      <c r="G24" s="95"/>
      <c r="H24" s="65">
        <f>'3'!G24</f>
        <v>15</v>
      </c>
      <c r="I24" s="96"/>
      <c r="J24" s="70">
        <f>'4'!G24</f>
        <v>15</v>
      </c>
      <c r="K24" s="93"/>
      <c r="L24" s="60">
        <f>'5'!G24</f>
        <v>15</v>
      </c>
      <c r="M24" s="126"/>
      <c r="N24" s="26">
        <v>15</v>
      </c>
      <c r="O24" s="128"/>
    </row>
    <row r="25" spans="1:15" ht="18.75" x14ac:dyDescent="0.25">
      <c r="D25" s="50"/>
      <c r="E25" s="50"/>
      <c r="F25" s="56"/>
      <c r="G25" s="56"/>
      <c r="H25" s="66"/>
      <c r="I25" s="66"/>
      <c r="J25" s="71"/>
      <c r="K25" s="71"/>
      <c r="L25" s="60">
        <f>'5'!G25</f>
        <v>0</v>
      </c>
      <c r="M25" s="61"/>
    </row>
    <row r="26" spans="1:15" ht="18.75" x14ac:dyDescent="0.25">
      <c r="A26" t="s">
        <v>84</v>
      </c>
      <c r="B26" s="36">
        <v>1</v>
      </c>
      <c r="C26" s="1" t="s">
        <v>5</v>
      </c>
      <c r="D26" s="51"/>
      <c r="E26" s="51"/>
      <c r="F26" s="57"/>
      <c r="G26" s="57"/>
      <c r="H26" s="67"/>
      <c r="I26" s="67"/>
      <c r="J26" s="72"/>
      <c r="K26" s="72"/>
      <c r="L26" s="60">
        <f>'5'!G26</f>
        <v>0</v>
      </c>
      <c r="M26" s="62"/>
      <c r="N26" s="9"/>
      <c r="O26" s="8"/>
    </row>
    <row r="27" spans="1:15" ht="30" x14ac:dyDescent="0.25">
      <c r="A27" t="s">
        <v>84</v>
      </c>
      <c r="B27" s="45">
        <v>1.1000000000000001</v>
      </c>
      <c r="C27" s="3" t="s">
        <v>6</v>
      </c>
      <c r="D27" s="49">
        <f>'1'!G27</f>
        <v>0</v>
      </c>
      <c r="E27" s="94">
        <f>'1'!H27:H40</f>
        <v>18.2</v>
      </c>
      <c r="F27" s="55">
        <f>'2'!G27</f>
        <v>6</v>
      </c>
      <c r="G27" s="95">
        <f>'2'!H27:H40</f>
        <v>3.4000000000000004</v>
      </c>
      <c r="H27" s="65">
        <f>'3'!G27</f>
        <v>8</v>
      </c>
      <c r="I27" s="96">
        <f>'3'!H27:H40</f>
        <v>5.9</v>
      </c>
      <c r="J27" s="70">
        <f>'4'!G27</f>
        <v>10</v>
      </c>
      <c r="K27" s="93">
        <f>'4'!H27:H40</f>
        <v>4</v>
      </c>
      <c r="L27" s="60">
        <f>'5'!G27</f>
        <v>10</v>
      </c>
      <c r="M27" s="126">
        <f>'5'!H27:H40</f>
        <v>10</v>
      </c>
      <c r="N27" s="2">
        <v>10</v>
      </c>
      <c r="O27" s="127">
        <v>10</v>
      </c>
    </row>
    <row r="28" spans="1:15" ht="30" x14ac:dyDescent="0.25">
      <c r="A28" t="s">
        <v>84</v>
      </c>
      <c r="B28" s="45">
        <v>1.2</v>
      </c>
      <c r="C28" s="3" t="s">
        <v>8</v>
      </c>
      <c r="D28" s="49">
        <f>'1'!G28</f>
        <v>6</v>
      </c>
      <c r="E28" s="94"/>
      <c r="F28" s="55">
        <f>'2'!G28</f>
        <v>6</v>
      </c>
      <c r="G28" s="95"/>
      <c r="H28" s="65">
        <f>'3'!G28</f>
        <v>8</v>
      </c>
      <c r="I28" s="96"/>
      <c r="J28" s="70">
        <f>'4'!G28</f>
        <v>8</v>
      </c>
      <c r="K28" s="93"/>
      <c r="L28" s="60">
        <f>'5'!G28</f>
        <v>10</v>
      </c>
      <c r="M28" s="126"/>
      <c r="N28" s="2">
        <v>10</v>
      </c>
      <c r="O28" s="127"/>
    </row>
    <row r="29" spans="1:15" ht="30" x14ac:dyDescent="0.25">
      <c r="A29" t="s">
        <v>84</v>
      </c>
      <c r="B29" s="45">
        <v>1.3</v>
      </c>
      <c r="C29" s="3" t="s">
        <v>9</v>
      </c>
      <c r="D29" s="49">
        <f>'1'!G29</f>
        <v>8</v>
      </c>
      <c r="E29" s="94"/>
      <c r="F29" s="55">
        <f>'2'!G29</f>
        <v>0</v>
      </c>
      <c r="G29" s="95"/>
      <c r="H29" s="65">
        <f>'3'!G29</f>
        <v>6</v>
      </c>
      <c r="I29" s="96"/>
      <c r="J29" s="70">
        <f>'4'!G29</f>
        <v>8</v>
      </c>
      <c r="K29" s="93"/>
      <c r="L29" s="60">
        <f>'5'!G29</f>
        <v>10</v>
      </c>
      <c r="M29" s="126"/>
      <c r="N29" s="2">
        <v>10</v>
      </c>
      <c r="O29" s="127"/>
    </row>
    <row r="30" spans="1:15" ht="30" x14ac:dyDescent="0.25">
      <c r="A30" t="s">
        <v>84</v>
      </c>
      <c r="B30" s="45">
        <v>1.4</v>
      </c>
      <c r="C30" s="3" t="s">
        <v>10</v>
      </c>
      <c r="D30" s="49">
        <f>'1'!G30</f>
        <v>0</v>
      </c>
      <c r="E30" s="94"/>
      <c r="F30" s="55">
        <f>'2'!G30</f>
        <v>0</v>
      </c>
      <c r="G30" s="95"/>
      <c r="H30" s="65">
        <f>'3'!G30</f>
        <v>8</v>
      </c>
      <c r="I30" s="96"/>
      <c r="J30" s="70">
        <f>'4'!G30</f>
        <v>0</v>
      </c>
      <c r="K30" s="93"/>
      <c r="L30" s="60">
        <f>'5'!G30</f>
        <v>10</v>
      </c>
      <c r="M30" s="126"/>
      <c r="N30" s="2">
        <v>10</v>
      </c>
      <c r="O30" s="127"/>
    </row>
    <row r="31" spans="1:15" ht="45" x14ac:dyDescent="0.25">
      <c r="A31" t="s">
        <v>84</v>
      </c>
      <c r="B31" s="45">
        <v>1.5</v>
      </c>
      <c r="C31" s="3" t="s">
        <v>11</v>
      </c>
      <c r="D31" s="49">
        <f>'1'!G31</f>
        <v>6</v>
      </c>
      <c r="E31" s="94"/>
      <c r="F31" s="55">
        <f>'2'!G31</f>
        <v>2</v>
      </c>
      <c r="G31" s="95"/>
      <c r="H31" s="65">
        <f>'3'!G31</f>
        <v>6</v>
      </c>
      <c r="I31" s="96"/>
      <c r="J31" s="70">
        <f>'4'!G31</f>
        <v>2</v>
      </c>
      <c r="K31" s="93"/>
      <c r="L31" s="60">
        <f>'5'!G31</f>
        <v>10</v>
      </c>
      <c r="M31" s="126"/>
      <c r="N31" s="2">
        <v>10</v>
      </c>
      <c r="O31" s="127"/>
    </row>
    <row r="32" spans="1:15" ht="45" x14ac:dyDescent="0.25">
      <c r="A32" t="s">
        <v>84</v>
      </c>
      <c r="B32" s="129">
        <v>1.6</v>
      </c>
      <c r="C32" s="5" t="s">
        <v>12</v>
      </c>
      <c r="D32" s="49">
        <f>'1'!G32</f>
        <v>2</v>
      </c>
      <c r="E32" s="94"/>
      <c r="F32" s="55">
        <f>'2'!G32</f>
        <v>10</v>
      </c>
      <c r="G32" s="95"/>
      <c r="H32" s="65">
        <f>'3'!G32</f>
        <v>5</v>
      </c>
      <c r="I32" s="96"/>
      <c r="J32" s="70">
        <f>'4'!G32</f>
        <v>0</v>
      </c>
      <c r="K32" s="93"/>
      <c r="L32" s="60">
        <f>'5'!G32</f>
        <v>20</v>
      </c>
      <c r="M32" s="126"/>
      <c r="N32" s="2" t="s">
        <v>15</v>
      </c>
      <c r="O32" s="127"/>
    </row>
    <row r="33" spans="1:15" ht="18.75" x14ac:dyDescent="0.25">
      <c r="A33" t="s">
        <v>84</v>
      </c>
      <c r="B33" s="129"/>
      <c r="C33" s="3" t="s">
        <v>16</v>
      </c>
      <c r="D33" s="49"/>
      <c r="E33" s="94"/>
      <c r="F33" s="55"/>
      <c r="G33" s="95"/>
      <c r="H33" s="65"/>
      <c r="I33" s="96"/>
      <c r="J33" s="70"/>
      <c r="K33" s="93"/>
      <c r="L33" s="60"/>
      <c r="M33" s="126"/>
      <c r="N33" s="2"/>
      <c r="O33" s="127"/>
    </row>
    <row r="34" spans="1:15" ht="18.75" x14ac:dyDescent="0.25">
      <c r="A34" t="s">
        <v>84</v>
      </c>
      <c r="B34" s="129"/>
      <c r="C34" s="3" t="s">
        <v>17</v>
      </c>
      <c r="D34" s="49"/>
      <c r="E34" s="94"/>
      <c r="F34" s="55"/>
      <c r="G34" s="95"/>
      <c r="H34" s="65"/>
      <c r="I34" s="96"/>
      <c r="J34" s="70"/>
      <c r="K34" s="93"/>
      <c r="L34" s="60"/>
      <c r="M34" s="126"/>
      <c r="N34" s="2"/>
      <c r="O34" s="127"/>
    </row>
    <row r="35" spans="1:15" ht="18.75" x14ac:dyDescent="0.25">
      <c r="A35" t="s">
        <v>84</v>
      </c>
      <c r="B35" s="129"/>
      <c r="C35" s="3" t="s">
        <v>18</v>
      </c>
      <c r="D35" s="49"/>
      <c r="E35" s="94"/>
      <c r="F35" s="55"/>
      <c r="G35" s="95"/>
      <c r="H35" s="65"/>
      <c r="I35" s="96"/>
      <c r="J35" s="70"/>
      <c r="K35" s="93"/>
      <c r="L35" s="60"/>
      <c r="M35" s="126"/>
      <c r="N35" s="2"/>
      <c r="O35" s="127"/>
    </row>
    <row r="36" spans="1:15" ht="18.75" x14ac:dyDescent="0.25">
      <c r="A36" t="s">
        <v>84</v>
      </c>
      <c r="B36" s="129"/>
      <c r="C36" s="3" t="s">
        <v>19</v>
      </c>
      <c r="D36" s="49"/>
      <c r="E36" s="94"/>
      <c r="F36" s="55"/>
      <c r="G36" s="95"/>
      <c r="H36" s="65"/>
      <c r="I36" s="96"/>
      <c r="J36" s="70"/>
      <c r="K36" s="93"/>
      <c r="L36" s="60"/>
      <c r="M36" s="126"/>
      <c r="N36" s="2"/>
      <c r="O36" s="127"/>
    </row>
    <row r="37" spans="1:15" ht="18.75" x14ac:dyDescent="0.25">
      <c r="A37" t="s">
        <v>84</v>
      </c>
      <c r="B37" s="129"/>
      <c r="C37" s="3" t="s">
        <v>20</v>
      </c>
      <c r="D37" s="49"/>
      <c r="E37" s="94"/>
      <c r="F37" s="55"/>
      <c r="G37" s="95"/>
      <c r="H37" s="65"/>
      <c r="I37" s="96"/>
      <c r="J37" s="70"/>
      <c r="K37" s="93"/>
      <c r="L37" s="60"/>
      <c r="M37" s="126"/>
      <c r="N37" s="2"/>
      <c r="O37" s="127"/>
    </row>
    <row r="38" spans="1:15" ht="18.75" x14ac:dyDescent="0.25">
      <c r="A38" t="s">
        <v>84</v>
      </c>
      <c r="B38" s="38">
        <v>1.7</v>
      </c>
      <c r="C38" s="7" t="s">
        <v>21</v>
      </c>
      <c r="D38" s="49">
        <f>'1'!G38</f>
        <v>2</v>
      </c>
      <c r="E38" s="94"/>
      <c r="F38" s="55">
        <f>'2'!G38</f>
        <v>6</v>
      </c>
      <c r="G38" s="95"/>
      <c r="H38" s="65">
        <f>'3'!G38</f>
        <v>10</v>
      </c>
      <c r="I38" s="96"/>
      <c r="J38" s="70">
        <f>'4'!G38</f>
        <v>0</v>
      </c>
      <c r="K38" s="93"/>
      <c r="L38" s="60">
        <f>'5'!G38</f>
        <v>10</v>
      </c>
      <c r="M38" s="126"/>
      <c r="N38" s="2">
        <v>10</v>
      </c>
      <c r="O38" s="127"/>
    </row>
    <row r="39" spans="1:15" ht="30" x14ac:dyDescent="0.25">
      <c r="A39" t="s">
        <v>84</v>
      </c>
      <c r="B39" s="38">
        <v>1.8</v>
      </c>
      <c r="C39" s="3" t="s">
        <v>22</v>
      </c>
      <c r="D39" s="49">
        <f>'1'!G39</f>
        <v>2</v>
      </c>
      <c r="E39" s="94"/>
      <c r="F39" s="55">
        <f>'2'!G39</f>
        <v>2</v>
      </c>
      <c r="G39" s="95"/>
      <c r="H39" s="65">
        <f>'3'!G39</f>
        <v>4</v>
      </c>
      <c r="I39" s="96"/>
      <c r="J39" s="70">
        <f>'4'!G39</f>
        <v>6</v>
      </c>
      <c r="K39" s="93"/>
      <c r="L39" s="60">
        <f>'5'!G39</f>
        <v>10</v>
      </c>
      <c r="M39" s="126"/>
      <c r="N39" s="2">
        <v>10</v>
      </c>
      <c r="O39" s="127"/>
    </row>
    <row r="40" spans="1:15" ht="45" x14ac:dyDescent="0.25">
      <c r="A40" t="s">
        <v>84</v>
      </c>
      <c r="B40" s="38">
        <v>1.9</v>
      </c>
      <c r="C40" s="4" t="s">
        <v>23</v>
      </c>
      <c r="D40" s="49">
        <f>'1'!G40</f>
        <v>0</v>
      </c>
      <c r="E40" s="94"/>
      <c r="F40" s="55">
        <f>'2'!G40</f>
        <v>2</v>
      </c>
      <c r="G40" s="95"/>
      <c r="H40" s="65">
        <f>'3'!G40</f>
        <v>4</v>
      </c>
      <c r="I40" s="96"/>
      <c r="J40" s="70">
        <f>'4'!G40</f>
        <v>6</v>
      </c>
      <c r="K40" s="93"/>
      <c r="L40" s="60">
        <f>'5'!G40</f>
        <v>10</v>
      </c>
      <c r="M40" s="126"/>
      <c r="N40" s="2">
        <v>10</v>
      </c>
      <c r="O40" s="127"/>
    </row>
    <row r="41" spans="1:15" ht="18.75" x14ac:dyDescent="0.25">
      <c r="A41" t="s">
        <v>84</v>
      </c>
      <c r="B41" s="36">
        <v>2</v>
      </c>
      <c r="C41" s="1" t="s">
        <v>24</v>
      </c>
      <c r="D41" s="51"/>
      <c r="E41" s="51"/>
      <c r="F41" s="57"/>
      <c r="G41" s="57"/>
      <c r="H41" s="67"/>
      <c r="I41" s="67"/>
      <c r="J41" s="72"/>
      <c r="K41" s="72"/>
      <c r="L41" s="60">
        <f>'5'!G41</f>
        <v>0</v>
      </c>
      <c r="M41" s="62"/>
      <c r="N41" s="9"/>
      <c r="O41" s="8"/>
    </row>
    <row r="42" spans="1:15" ht="30" x14ac:dyDescent="0.25">
      <c r="A42" t="s">
        <v>84</v>
      </c>
      <c r="B42" s="45">
        <v>2.1</v>
      </c>
      <c r="C42" s="3" t="s">
        <v>25</v>
      </c>
      <c r="D42" s="49">
        <f>'1'!G42:G45</f>
        <v>20</v>
      </c>
      <c r="E42" s="94">
        <f>'1'!H42:H45</f>
        <v>6</v>
      </c>
      <c r="F42" s="55">
        <f>'2'!G42</f>
        <v>0</v>
      </c>
      <c r="G42" s="95">
        <f>'2'!H42:H45</f>
        <v>2.5</v>
      </c>
      <c r="H42" s="65">
        <f>'3'!G42</f>
        <v>0</v>
      </c>
      <c r="I42" s="96">
        <f>'3'!H42:H45</f>
        <v>4</v>
      </c>
      <c r="J42" s="70">
        <f>'4'!G42</f>
        <v>0</v>
      </c>
      <c r="K42" s="93">
        <f>'4'!H42:H45</f>
        <v>0</v>
      </c>
      <c r="L42" s="60">
        <f>'5'!G42</f>
        <v>20</v>
      </c>
      <c r="M42" s="126">
        <f>'5'!H42:H45</f>
        <v>5</v>
      </c>
      <c r="N42" s="2">
        <v>20</v>
      </c>
      <c r="O42" s="127">
        <v>5</v>
      </c>
    </row>
    <row r="43" spans="1:15" ht="30" x14ac:dyDescent="0.25">
      <c r="A43" t="s">
        <v>84</v>
      </c>
      <c r="B43" s="45">
        <v>2.2000000000000002</v>
      </c>
      <c r="C43" s="3" t="s">
        <v>26</v>
      </c>
      <c r="D43" s="49">
        <f>'1'!G43:G46</f>
        <v>0</v>
      </c>
      <c r="E43" s="94"/>
      <c r="F43" s="55">
        <f>'2'!G43</f>
        <v>30</v>
      </c>
      <c r="G43" s="95"/>
      <c r="H43" s="65">
        <f>'3'!G43</f>
        <v>30</v>
      </c>
      <c r="I43" s="96"/>
      <c r="J43" s="70">
        <f>'4'!G43</f>
        <v>0</v>
      </c>
      <c r="K43" s="93"/>
      <c r="L43" s="60">
        <f>'5'!G43</f>
        <v>30</v>
      </c>
      <c r="M43" s="126"/>
      <c r="N43" s="2">
        <v>30</v>
      </c>
      <c r="O43" s="127"/>
    </row>
    <row r="44" spans="1:15" ht="18.75" x14ac:dyDescent="0.25">
      <c r="A44" t="s">
        <v>84</v>
      </c>
      <c r="B44" s="45">
        <v>2.2999999999999998</v>
      </c>
      <c r="C44" s="3" t="s">
        <v>27</v>
      </c>
      <c r="D44" s="49">
        <f>'1'!G44:G47</f>
        <v>0</v>
      </c>
      <c r="E44" s="94"/>
      <c r="F44" s="55">
        <f>'2'!G44</f>
        <v>20</v>
      </c>
      <c r="G44" s="95"/>
      <c r="H44" s="65">
        <f>'3'!G44</f>
        <v>20</v>
      </c>
      <c r="I44" s="96"/>
      <c r="J44" s="70">
        <f>'4'!G44</f>
        <v>0</v>
      </c>
      <c r="K44" s="93"/>
      <c r="L44" s="60">
        <f>'5'!G44</f>
        <v>20</v>
      </c>
      <c r="M44" s="126"/>
      <c r="N44" s="2">
        <v>20</v>
      </c>
      <c r="O44" s="127"/>
    </row>
    <row r="45" spans="1:15" ht="30" x14ac:dyDescent="0.25">
      <c r="A45" t="s">
        <v>84</v>
      </c>
      <c r="B45" s="45">
        <v>2.4</v>
      </c>
      <c r="C45" s="3" t="s">
        <v>28</v>
      </c>
      <c r="D45" s="49">
        <f>'1'!G45:G48</f>
        <v>0</v>
      </c>
      <c r="E45" s="94"/>
      <c r="F45" s="55">
        <f>'2'!G45</f>
        <v>0</v>
      </c>
      <c r="G45" s="95"/>
      <c r="H45" s="65">
        <f>'3'!G45</f>
        <v>30</v>
      </c>
      <c r="I45" s="96"/>
      <c r="J45" s="70">
        <f>'4'!G45</f>
        <v>0</v>
      </c>
      <c r="K45" s="93"/>
      <c r="L45" s="60">
        <f>'5'!G45</f>
        <v>30</v>
      </c>
      <c r="M45" s="126"/>
      <c r="N45" s="2">
        <v>30</v>
      </c>
      <c r="O45" s="127"/>
    </row>
    <row r="46" spans="1:15" x14ac:dyDescent="0.25">
      <c r="D46" s="50"/>
      <c r="E46" s="50"/>
      <c r="F46" s="56"/>
      <c r="G46" s="56"/>
      <c r="H46" s="66"/>
      <c r="I46" s="66"/>
      <c r="J46" s="71"/>
      <c r="K46" s="71"/>
      <c r="L46" s="61"/>
      <c r="M46" s="61"/>
    </row>
    <row r="47" spans="1:15" x14ac:dyDescent="0.25">
      <c r="A47" t="s">
        <v>83</v>
      </c>
      <c r="B47" s="11">
        <v>1</v>
      </c>
      <c r="C47" s="12" t="s">
        <v>29</v>
      </c>
      <c r="D47" s="52"/>
      <c r="E47" s="52"/>
      <c r="F47" s="58"/>
      <c r="G47" s="58"/>
      <c r="H47" s="68"/>
      <c r="I47" s="68"/>
      <c r="J47" s="73"/>
      <c r="K47" s="73"/>
      <c r="L47" s="63"/>
      <c r="M47" s="63"/>
      <c r="N47" s="15"/>
      <c r="O47" s="13"/>
    </row>
    <row r="48" spans="1:15" ht="43.5" x14ac:dyDescent="0.25">
      <c r="A48" t="s">
        <v>83</v>
      </c>
      <c r="B48" s="10">
        <v>1.1000000000000001</v>
      </c>
      <c r="C48" s="16" t="s">
        <v>47</v>
      </c>
      <c r="D48" s="136">
        <f>'1'!G48:G49</f>
        <v>15</v>
      </c>
      <c r="E48" s="138">
        <f>'1'!H48:H53</f>
        <v>9</v>
      </c>
      <c r="F48" s="109">
        <f>'2'!G48:G49</f>
        <v>30</v>
      </c>
      <c r="G48" s="111">
        <f>'2'!H48:H53</f>
        <v>12.200000000000001</v>
      </c>
      <c r="H48" s="114">
        <f>'3'!G48:G49</f>
        <v>0</v>
      </c>
      <c r="I48" s="116">
        <f>'3'!H48:H53</f>
        <v>5</v>
      </c>
      <c r="J48" s="119">
        <f>'4'!G48:G49</f>
        <v>15</v>
      </c>
      <c r="K48" s="121">
        <f>'4'!H48:H53</f>
        <v>8.6</v>
      </c>
      <c r="L48" s="130">
        <f>'5'!G48:G49</f>
        <v>45</v>
      </c>
      <c r="M48" s="132">
        <f>'5'!H48:H53</f>
        <v>20</v>
      </c>
      <c r="N48" s="18">
        <v>15</v>
      </c>
      <c r="O48" s="124">
        <v>20</v>
      </c>
    </row>
    <row r="49" spans="1:15" ht="14.45" customHeight="1" x14ac:dyDescent="0.25">
      <c r="A49" t="s">
        <v>83</v>
      </c>
      <c r="B49" s="10" t="s">
        <v>81</v>
      </c>
      <c r="C49" s="16" t="s">
        <v>31</v>
      </c>
      <c r="D49" s="137"/>
      <c r="E49" s="139"/>
      <c r="F49" s="110"/>
      <c r="G49" s="112"/>
      <c r="H49" s="115"/>
      <c r="I49" s="117"/>
      <c r="J49" s="120"/>
      <c r="K49" s="122"/>
      <c r="L49" s="131"/>
      <c r="M49" s="133"/>
      <c r="N49" s="18">
        <v>30</v>
      </c>
      <c r="O49" s="125"/>
    </row>
    <row r="50" spans="1:15" ht="18.75" x14ac:dyDescent="0.25">
      <c r="A50" t="s">
        <v>83</v>
      </c>
      <c r="B50" s="10">
        <v>1.2</v>
      </c>
      <c r="C50" s="16" t="s">
        <v>34</v>
      </c>
      <c r="D50" s="49">
        <f>'1'!G50</f>
        <v>0</v>
      </c>
      <c r="E50" s="139"/>
      <c r="F50" s="55">
        <f>'2'!G50</f>
        <v>16</v>
      </c>
      <c r="G50" s="112"/>
      <c r="H50" s="65">
        <f>'3'!G50</f>
        <v>20</v>
      </c>
      <c r="I50" s="117"/>
      <c r="J50" s="70">
        <f>'4'!G50</f>
        <v>8</v>
      </c>
      <c r="K50" s="122"/>
      <c r="L50" s="60">
        <f>'5'!G50</f>
        <v>20</v>
      </c>
      <c r="M50" s="133"/>
      <c r="N50" s="18">
        <v>20</v>
      </c>
      <c r="O50" s="125"/>
    </row>
    <row r="51" spans="1:15" ht="18.75" x14ac:dyDescent="0.25">
      <c r="A51" t="s">
        <v>83</v>
      </c>
      <c r="B51" s="10">
        <v>1.3</v>
      </c>
      <c r="C51" s="16" t="s">
        <v>35</v>
      </c>
      <c r="D51" s="49">
        <f>'1'!G51</f>
        <v>0</v>
      </c>
      <c r="E51" s="139"/>
      <c r="F51" s="55">
        <f>'2'!G51</f>
        <v>10</v>
      </c>
      <c r="G51" s="112"/>
      <c r="H51" s="65">
        <f>'3'!G51</f>
        <v>0</v>
      </c>
      <c r="I51" s="117"/>
      <c r="J51" s="70">
        <f>'4'!G51</f>
        <v>10</v>
      </c>
      <c r="K51" s="122"/>
      <c r="L51" s="60">
        <f>'5'!G51</f>
        <v>10</v>
      </c>
      <c r="M51" s="133"/>
      <c r="N51" s="18">
        <v>10</v>
      </c>
      <c r="O51" s="125"/>
    </row>
    <row r="52" spans="1:15" ht="18.75" x14ac:dyDescent="0.25">
      <c r="A52" t="s">
        <v>83</v>
      </c>
      <c r="B52" s="10">
        <v>1.4</v>
      </c>
      <c r="C52" s="16" t="s">
        <v>36</v>
      </c>
      <c r="D52" s="49">
        <f>'1'!G52</f>
        <v>0</v>
      </c>
      <c r="E52" s="139"/>
      <c r="F52" s="55">
        <f>'2'!G52</f>
        <v>0</v>
      </c>
      <c r="G52" s="112"/>
      <c r="H52" s="65">
        <f>'3'!G52</f>
        <v>0</v>
      </c>
      <c r="I52" s="117"/>
      <c r="J52" s="70">
        <f>'4'!G52</f>
        <v>0</v>
      </c>
      <c r="K52" s="122"/>
      <c r="L52" s="60">
        <f>'5'!G52</f>
        <v>10</v>
      </c>
      <c r="M52" s="133"/>
      <c r="N52" s="18">
        <v>10</v>
      </c>
      <c r="O52" s="125"/>
    </row>
    <row r="53" spans="1:15" ht="18.75" x14ac:dyDescent="0.25">
      <c r="A53" t="s">
        <v>83</v>
      </c>
      <c r="B53" s="10">
        <v>1.5</v>
      </c>
      <c r="C53" s="16" t="s">
        <v>37</v>
      </c>
      <c r="D53" s="49">
        <f>'1'!G53</f>
        <v>0</v>
      </c>
      <c r="E53" s="140"/>
      <c r="F53" s="55">
        <f>'2'!G53</f>
        <v>5</v>
      </c>
      <c r="G53" s="113"/>
      <c r="H53" s="65">
        <f>'3'!G53</f>
        <v>5</v>
      </c>
      <c r="I53" s="118"/>
      <c r="J53" s="70">
        <f>'4'!G53</f>
        <v>10</v>
      </c>
      <c r="K53" s="123"/>
      <c r="L53" s="60">
        <f>'5'!G53</f>
        <v>15</v>
      </c>
      <c r="M53" s="134"/>
      <c r="N53" s="18">
        <v>15</v>
      </c>
      <c r="O53" s="135"/>
    </row>
    <row r="54" spans="1:15" x14ac:dyDescent="0.25">
      <c r="A54" t="s">
        <v>83</v>
      </c>
      <c r="B54" s="11">
        <v>2</v>
      </c>
      <c r="C54" s="12" t="s">
        <v>39</v>
      </c>
      <c r="D54" s="52"/>
      <c r="E54" s="52"/>
      <c r="F54" s="58"/>
      <c r="G54" s="58"/>
      <c r="H54" s="68"/>
      <c r="I54" s="68"/>
      <c r="J54" s="73"/>
      <c r="K54" s="73"/>
      <c r="L54" s="63"/>
      <c r="M54" s="63"/>
      <c r="N54" s="15"/>
      <c r="O54" s="13"/>
    </row>
    <row r="55" spans="1:15" ht="30" x14ac:dyDescent="0.25">
      <c r="A55" t="s">
        <v>83</v>
      </c>
      <c r="B55" s="42">
        <v>2.1</v>
      </c>
      <c r="C55" s="19" t="s">
        <v>40</v>
      </c>
      <c r="D55" s="49">
        <f>'1'!G55</f>
        <v>5</v>
      </c>
      <c r="E55" s="97">
        <f>'1'!H55:H61</f>
        <v>6</v>
      </c>
      <c r="F55" s="55">
        <f>'2'!G55</f>
        <v>15</v>
      </c>
      <c r="G55" s="100">
        <f>'2'!H55:H61</f>
        <v>4</v>
      </c>
      <c r="H55" s="65">
        <f>'3'!G55</f>
        <v>5</v>
      </c>
      <c r="I55" s="103">
        <f>'3'!H55:H61</f>
        <v>3</v>
      </c>
      <c r="J55" s="70">
        <f>'4'!G55</f>
        <v>20</v>
      </c>
      <c r="K55" s="106">
        <f>'4'!H55:H61</f>
        <v>8</v>
      </c>
      <c r="L55" s="60">
        <f>'5'!G55</f>
        <v>20</v>
      </c>
      <c r="M55" s="90">
        <f>'5'!H55:H61</f>
        <v>20</v>
      </c>
      <c r="N55" s="18">
        <v>20</v>
      </c>
      <c r="O55" s="124">
        <v>20</v>
      </c>
    </row>
    <row r="56" spans="1:15" ht="18.75" x14ac:dyDescent="0.25">
      <c r="A56" t="s">
        <v>83</v>
      </c>
      <c r="B56" s="10">
        <v>2.2000000000000002</v>
      </c>
      <c r="C56" s="19" t="s">
        <v>41</v>
      </c>
      <c r="D56" s="49">
        <f>'1'!G56</f>
        <v>0</v>
      </c>
      <c r="E56" s="98"/>
      <c r="F56" s="55">
        <f>'2'!G56</f>
        <v>0</v>
      </c>
      <c r="G56" s="101"/>
      <c r="H56" s="65">
        <f>'3'!G56</f>
        <v>0</v>
      </c>
      <c r="I56" s="104"/>
      <c r="J56" s="70">
        <f>'4'!G56</f>
        <v>0</v>
      </c>
      <c r="K56" s="107"/>
      <c r="L56" s="60">
        <f>'5'!G56</f>
        <v>10</v>
      </c>
      <c r="M56" s="91"/>
      <c r="N56" s="18">
        <v>10</v>
      </c>
      <c r="O56" s="125"/>
    </row>
    <row r="57" spans="1:15" ht="18.75" x14ac:dyDescent="0.25">
      <c r="A57" t="s">
        <v>83</v>
      </c>
      <c r="B57" s="10">
        <v>2.2999999999999998</v>
      </c>
      <c r="C57" s="19" t="s">
        <v>42</v>
      </c>
      <c r="D57" s="49">
        <f>'1'!G57</f>
        <v>10</v>
      </c>
      <c r="E57" s="98"/>
      <c r="F57" s="55">
        <f>'2'!G57</f>
        <v>0</v>
      </c>
      <c r="G57" s="101"/>
      <c r="H57" s="65">
        <f>'3'!G57</f>
        <v>0</v>
      </c>
      <c r="I57" s="104"/>
      <c r="J57" s="70">
        <f>'4'!G57</f>
        <v>0</v>
      </c>
      <c r="K57" s="107"/>
      <c r="L57" s="60">
        <f>'5'!G57</f>
        <v>10</v>
      </c>
      <c r="M57" s="91"/>
      <c r="N57" s="18">
        <v>10</v>
      </c>
      <c r="O57" s="125"/>
    </row>
    <row r="58" spans="1:15" ht="18.75" x14ac:dyDescent="0.25">
      <c r="A58" t="s">
        <v>83</v>
      </c>
      <c r="B58" s="10">
        <v>2.4</v>
      </c>
      <c r="C58" s="19" t="s">
        <v>43</v>
      </c>
      <c r="D58" s="49">
        <f>'1'!G58</f>
        <v>0</v>
      </c>
      <c r="E58" s="98"/>
      <c r="F58" s="55">
        <f>'2'!G58</f>
        <v>5</v>
      </c>
      <c r="G58" s="101"/>
      <c r="H58" s="65">
        <f>'3'!G58</f>
        <v>0</v>
      </c>
      <c r="I58" s="104"/>
      <c r="J58" s="70">
        <f>'4'!G58</f>
        <v>5</v>
      </c>
      <c r="K58" s="107"/>
      <c r="L58" s="60">
        <f>'5'!G58</f>
        <v>15</v>
      </c>
      <c r="M58" s="91"/>
      <c r="N58" s="18">
        <v>15</v>
      </c>
      <c r="O58" s="125"/>
    </row>
    <row r="59" spans="1:15" ht="18.75" x14ac:dyDescent="0.25">
      <c r="A59" t="s">
        <v>83</v>
      </c>
      <c r="B59" s="10">
        <v>2.5</v>
      </c>
      <c r="C59" s="20" t="s">
        <v>44</v>
      </c>
      <c r="D59" s="49">
        <f>'1'!G59</f>
        <v>0</v>
      </c>
      <c r="E59" s="98"/>
      <c r="F59" s="55">
        <f>'2'!G59</f>
        <v>0</v>
      </c>
      <c r="G59" s="101"/>
      <c r="H59" s="65">
        <f>'3'!G59</f>
        <v>0</v>
      </c>
      <c r="I59" s="104"/>
      <c r="J59" s="70">
        <f>'4'!G59</f>
        <v>0</v>
      </c>
      <c r="K59" s="107"/>
      <c r="L59" s="60">
        <f>'5'!G59</f>
        <v>15</v>
      </c>
      <c r="M59" s="91"/>
      <c r="N59" s="18">
        <v>15</v>
      </c>
      <c r="O59" s="125"/>
    </row>
    <row r="60" spans="1:15" ht="18.75" x14ac:dyDescent="0.25">
      <c r="A60" t="s">
        <v>83</v>
      </c>
      <c r="B60" s="10">
        <v>2.6</v>
      </c>
      <c r="C60" s="21" t="s">
        <v>45</v>
      </c>
      <c r="D60" s="49">
        <f>'1'!G60</f>
        <v>0</v>
      </c>
      <c r="E60" s="98"/>
      <c r="F60" s="55">
        <f>'2'!G60</f>
        <v>0</v>
      </c>
      <c r="G60" s="101"/>
      <c r="H60" s="65">
        <f>'3'!G60</f>
        <v>10</v>
      </c>
      <c r="I60" s="104"/>
      <c r="J60" s="70">
        <f>'4'!G60</f>
        <v>0</v>
      </c>
      <c r="K60" s="107"/>
      <c r="L60" s="60">
        <f>'5'!G60</f>
        <v>15</v>
      </c>
      <c r="M60" s="91"/>
      <c r="N60" s="18">
        <v>15</v>
      </c>
      <c r="O60" s="125"/>
    </row>
    <row r="61" spans="1:15" ht="18.75" x14ac:dyDescent="0.25">
      <c r="A61" t="s">
        <v>83</v>
      </c>
      <c r="B61" s="10">
        <v>2.7</v>
      </c>
      <c r="C61" s="20" t="s">
        <v>46</v>
      </c>
      <c r="D61" s="49">
        <f>'1'!G61</f>
        <v>0</v>
      </c>
      <c r="E61" s="99"/>
      <c r="F61" s="55">
        <f>'2'!G61</f>
        <v>0</v>
      </c>
      <c r="G61" s="102"/>
      <c r="H61" s="65">
        <f>'3'!G61</f>
        <v>0</v>
      </c>
      <c r="I61" s="105"/>
      <c r="J61" s="70">
        <f>'4'!G61</f>
        <v>15</v>
      </c>
      <c r="K61" s="108"/>
      <c r="L61" s="60">
        <f>'5'!G61</f>
        <v>15</v>
      </c>
      <c r="M61" s="92"/>
      <c r="N61" s="18">
        <v>15</v>
      </c>
      <c r="O61" s="125"/>
    </row>
  </sheetData>
  <mergeCells count="54">
    <mergeCell ref="N7:O7"/>
    <mergeCell ref="L8:L9"/>
    <mergeCell ref="M8:M17"/>
    <mergeCell ref="O8:O16"/>
    <mergeCell ref="B18:C18"/>
    <mergeCell ref="D7:E7"/>
    <mergeCell ref="F7:G7"/>
    <mergeCell ref="H7:I7"/>
    <mergeCell ref="J7:K7"/>
    <mergeCell ref="L7:M7"/>
    <mergeCell ref="B32:B37"/>
    <mergeCell ref="M42:M45"/>
    <mergeCell ref="O42:O45"/>
    <mergeCell ref="L48:L49"/>
    <mergeCell ref="M48:M53"/>
    <mergeCell ref="O48:O53"/>
    <mergeCell ref="D48:D49"/>
    <mergeCell ref="E48:E53"/>
    <mergeCell ref="E42:E45"/>
    <mergeCell ref="G42:G45"/>
    <mergeCell ref="I42:I45"/>
    <mergeCell ref="K42:K45"/>
    <mergeCell ref="O55:O61"/>
    <mergeCell ref="D8:D9"/>
    <mergeCell ref="E8:E17"/>
    <mergeCell ref="F8:F9"/>
    <mergeCell ref="G8:G17"/>
    <mergeCell ref="H8:H9"/>
    <mergeCell ref="I8:I17"/>
    <mergeCell ref="J8:J9"/>
    <mergeCell ref="K8:K17"/>
    <mergeCell ref="M27:M40"/>
    <mergeCell ref="O27:O40"/>
    <mergeCell ref="M19:M24"/>
    <mergeCell ref="O19:O24"/>
    <mergeCell ref="E19:E24"/>
    <mergeCell ref="G19:G24"/>
    <mergeCell ref="I19:I24"/>
    <mergeCell ref="M55:M61"/>
    <mergeCell ref="K19:K24"/>
    <mergeCell ref="E27:E40"/>
    <mergeCell ref="G27:G40"/>
    <mergeCell ref="I27:I40"/>
    <mergeCell ref="K27:K40"/>
    <mergeCell ref="E55:E61"/>
    <mergeCell ref="G55:G61"/>
    <mergeCell ref="I55:I61"/>
    <mergeCell ref="K55:K61"/>
    <mergeCell ref="F48:F49"/>
    <mergeCell ref="G48:G53"/>
    <mergeCell ref="H48:H49"/>
    <mergeCell ref="I48:I53"/>
    <mergeCell ref="J48:J49"/>
    <mergeCell ref="K48:K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3"/>
  <sheetViews>
    <sheetView tabSelected="1" zoomScale="70" zoomScaleNormal="70" workbookViewId="0">
      <selection activeCell="L20" sqref="L20"/>
    </sheetView>
  </sheetViews>
  <sheetFormatPr defaultRowHeight="15" x14ac:dyDescent="0.25"/>
  <cols>
    <col min="1" max="1" width="16.85546875" customWidth="1"/>
    <col min="3" max="3" width="57.42578125" customWidth="1"/>
    <col min="4" max="4" width="26.5703125" customWidth="1"/>
    <col min="5" max="5" width="10.42578125" bestFit="1" customWidth="1"/>
    <col min="6" max="6" width="48.5703125" customWidth="1"/>
    <col min="13" max="13" width="75.85546875" customWidth="1"/>
  </cols>
  <sheetData>
    <row r="2" spans="1:13" x14ac:dyDescent="0.25">
      <c r="A2" s="23" t="s">
        <v>85</v>
      </c>
      <c r="B2">
        <v>40</v>
      </c>
      <c r="C2">
        <f>(H8+H19)*(B2/100)</f>
        <v>11.280000000000001</v>
      </c>
    </row>
    <row r="3" spans="1:13" x14ac:dyDescent="0.25">
      <c r="A3" s="44" t="s">
        <v>84</v>
      </c>
      <c r="B3">
        <v>30</v>
      </c>
      <c r="C3">
        <f>(H27+H42)*(B3/100)</f>
        <v>7.26</v>
      </c>
    </row>
    <row r="4" spans="1:13" x14ac:dyDescent="0.25">
      <c r="A4" s="11" t="s">
        <v>83</v>
      </c>
      <c r="B4">
        <v>30</v>
      </c>
      <c r="C4">
        <f>(H48+H55)*(B4/100)</f>
        <v>4.5</v>
      </c>
    </row>
    <row r="5" spans="1:13" x14ac:dyDescent="0.25">
      <c r="A5" s="43" t="s">
        <v>86</v>
      </c>
      <c r="B5">
        <f>SUM(B2:B4)</f>
        <v>100</v>
      </c>
      <c r="C5">
        <f>SUM(C2:C4)</f>
        <v>23.04</v>
      </c>
    </row>
    <row r="7" spans="1:13" x14ac:dyDescent="0.25">
      <c r="A7" t="s">
        <v>85</v>
      </c>
      <c r="B7" s="23">
        <v>1</v>
      </c>
      <c r="C7" s="22" t="s">
        <v>48</v>
      </c>
      <c r="D7" s="22" t="s">
        <v>3</v>
      </c>
      <c r="E7" s="22" t="s">
        <v>0</v>
      </c>
      <c r="F7" s="22" t="s">
        <v>4</v>
      </c>
      <c r="G7" s="22"/>
      <c r="H7" s="22"/>
      <c r="I7" s="141" t="s">
        <v>49</v>
      </c>
      <c r="J7" s="141"/>
    </row>
    <row r="8" spans="1:13" ht="45" x14ac:dyDescent="0.25">
      <c r="A8" t="s">
        <v>85</v>
      </c>
      <c r="B8" s="27">
        <v>1.1000000000000001</v>
      </c>
      <c r="C8" s="24" t="s">
        <v>50</v>
      </c>
      <c r="D8" s="25" t="s">
        <v>30</v>
      </c>
      <c r="E8" s="35" t="s">
        <v>1</v>
      </c>
      <c r="F8" s="25"/>
      <c r="G8" s="158">
        <f>IF(E8="Yes",5,0)+IF(E9="Yes",5,0)</f>
        <v>10</v>
      </c>
      <c r="H8" s="149">
        <f>SUM(G8:G17)*(J8/100)</f>
        <v>28.2</v>
      </c>
      <c r="I8" s="27">
        <v>10</v>
      </c>
      <c r="J8" s="142">
        <v>60</v>
      </c>
    </row>
    <row r="9" spans="1:13" ht="30" x14ac:dyDescent="0.25">
      <c r="A9" t="s">
        <v>85</v>
      </c>
      <c r="B9" s="27"/>
      <c r="C9" s="24" t="s">
        <v>72</v>
      </c>
      <c r="D9" s="25" t="s">
        <v>51</v>
      </c>
      <c r="E9" s="35" t="s">
        <v>1</v>
      </c>
      <c r="F9" s="25" t="s">
        <v>52</v>
      </c>
      <c r="G9" s="158"/>
      <c r="H9" s="149"/>
      <c r="I9" s="27"/>
      <c r="J9" s="142"/>
    </row>
    <row r="10" spans="1:13" s="79" customFormat="1" ht="30" x14ac:dyDescent="0.25">
      <c r="A10" s="79" t="s">
        <v>85</v>
      </c>
      <c r="B10" s="89">
        <v>1.2</v>
      </c>
      <c r="C10" s="81" t="s">
        <v>53</v>
      </c>
      <c r="D10" s="81" t="s">
        <v>73</v>
      </c>
      <c r="E10" s="81"/>
      <c r="F10" s="81" t="s">
        <v>74</v>
      </c>
      <c r="G10" s="82">
        <f>IF(E10=0,0,IF(E10&lt;3,8,IF(E10&lt;5,15,IF(E10&gt;5,20))))</f>
        <v>0</v>
      </c>
      <c r="H10" s="149"/>
      <c r="I10" s="80">
        <v>20</v>
      </c>
      <c r="J10" s="142"/>
      <c r="M10" s="79" t="s">
        <v>95</v>
      </c>
    </row>
    <row r="11" spans="1:13" ht="105" x14ac:dyDescent="0.25">
      <c r="A11" t="s">
        <v>85</v>
      </c>
      <c r="B11" s="27">
        <v>1.3</v>
      </c>
      <c r="C11" s="29" t="s">
        <v>54</v>
      </c>
      <c r="D11" s="30" t="s">
        <v>55</v>
      </c>
      <c r="E11" s="35">
        <v>4</v>
      </c>
      <c r="F11" s="31" t="s">
        <v>56</v>
      </c>
      <c r="G11" s="41">
        <f>IF(E11=0,0,IF(E11&lt;3,8,IF(E11&lt;5,15,IF(E11&gt;5,20))))</f>
        <v>15</v>
      </c>
      <c r="H11" s="149"/>
      <c r="I11" s="32">
        <v>20</v>
      </c>
      <c r="J11" s="142"/>
    </row>
    <row r="12" spans="1:13" ht="30" x14ac:dyDescent="0.25">
      <c r="A12" t="s">
        <v>85</v>
      </c>
      <c r="B12" s="27" t="s">
        <v>57</v>
      </c>
      <c r="C12" s="29" t="s">
        <v>58</v>
      </c>
      <c r="D12" s="30" t="s">
        <v>30</v>
      </c>
      <c r="E12" s="35" t="s">
        <v>2</v>
      </c>
      <c r="F12" s="31"/>
      <c r="G12" s="41">
        <f>IF(E12="Yes",0,10)</f>
        <v>10</v>
      </c>
      <c r="H12" s="149"/>
      <c r="I12" s="32">
        <v>10</v>
      </c>
      <c r="J12" s="142"/>
    </row>
    <row r="13" spans="1:13" ht="45" x14ac:dyDescent="0.25">
      <c r="A13" t="s">
        <v>85</v>
      </c>
      <c r="B13" s="27" t="s">
        <v>59</v>
      </c>
      <c r="C13" s="24" t="s">
        <v>60</v>
      </c>
      <c r="D13" s="25" t="s">
        <v>75</v>
      </c>
      <c r="E13" s="35" t="s">
        <v>2</v>
      </c>
      <c r="F13" s="35" t="s">
        <v>2</v>
      </c>
      <c r="G13" s="41">
        <f>IF(E13="Yes",5,0)+IF(F13="Yes",5,0)</f>
        <v>0</v>
      </c>
      <c r="H13" s="149"/>
      <c r="I13" s="27">
        <v>10</v>
      </c>
      <c r="J13" s="142"/>
    </row>
    <row r="14" spans="1:13" ht="30" x14ac:dyDescent="0.25">
      <c r="A14" t="s">
        <v>85</v>
      </c>
      <c r="B14" s="27">
        <v>1.6</v>
      </c>
      <c r="C14" s="24" t="s">
        <v>76</v>
      </c>
      <c r="D14" s="24" t="s">
        <v>61</v>
      </c>
      <c r="E14" s="35" t="s">
        <v>1</v>
      </c>
      <c r="F14" s="35"/>
      <c r="G14" s="41">
        <f>IF(E14="Yes",5,0)+(IF(F14="Monthly",5,IF(F14="Quarterly",4,IF(F14="Half Yearly",3,IF(F14="Annual",2,0)))))</f>
        <v>5</v>
      </c>
      <c r="H14" s="149"/>
      <c r="I14" s="27">
        <v>10</v>
      </c>
      <c r="J14" s="142"/>
    </row>
    <row r="15" spans="1:13" s="79" customFormat="1" ht="30" x14ac:dyDescent="0.25">
      <c r="A15" s="79" t="s">
        <v>85</v>
      </c>
      <c r="B15" s="80">
        <v>1.7</v>
      </c>
      <c r="C15" s="81" t="s">
        <v>62</v>
      </c>
      <c r="D15" s="81" t="s">
        <v>30</v>
      </c>
      <c r="E15" s="81" t="s">
        <v>2</v>
      </c>
      <c r="F15" s="81" t="s">
        <v>63</v>
      </c>
      <c r="G15" s="82">
        <f>IF(E15="Yes",10,0)</f>
        <v>0</v>
      </c>
      <c r="H15" s="149"/>
      <c r="I15" s="80">
        <v>10</v>
      </c>
      <c r="J15" s="142"/>
      <c r="M15" s="79" t="s">
        <v>98</v>
      </c>
    </row>
    <row r="16" spans="1:13" ht="30" x14ac:dyDescent="0.25">
      <c r="A16" t="s">
        <v>85</v>
      </c>
      <c r="B16" s="27">
        <v>1.8</v>
      </c>
      <c r="C16" s="24" t="s">
        <v>77</v>
      </c>
      <c r="D16" s="24" t="s">
        <v>61</v>
      </c>
      <c r="E16" s="35" t="s">
        <v>1</v>
      </c>
      <c r="F16" s="35" t="s">
        <v>87</v>
      </c>
      <c r="G16" s="47">
        <f>IF(E16="Yes",5,0)+(IF(F16="Monthly",5,IF(F16="Quarterly",4,IF(F16="Half Yearly",3,IF(F16="Annual",2,0)))))</f>
        <v>7</v>
      </c>
      <c r="H16" s="149"/>
      <c r="I16" s="27">
        <v>10</v>
      </c>
      <c r="J16" s="142"/>
    </row>
    <row r="17" spans="1:13" ht="18.75" x14ac:dyDescent="0.25">
      <c r="A17" t="s">
        <v>85</v>
      </c>
      <c r="B17" s="27"/>
      <c r="C17" s="24"/>
      <c r="D17" s="25"/>
      <c r="E17" s="25"/>
      <c r="F17" s="25"/>
      <c r="G17" s="41"/>
      <c r="H17" s="149"/>
      <c r="I17" s="26"/>
      <c r="J17" s="26"/>
    </row>
    <row r="18" spans="1:13" ht="18.75" x14ac:dyDescent="0.25">
      <c r="A18" t="s">
        <v>85</v>
      </c>
      <c r="B18" s="143" t="s">
        <v>64</v>
      </c>
      <c r="C18" s="143"/>
      <c r="D18" s="22"/>
      <c r="E18" s="22"/>
      <c r="F18" s="22"/>
      <c r="G18" s="41"/>
      <c r="H18" s="39"/>
      <c r="I18" s="22"/>
      <c r="J18" s="22"/>
    </row>
    <row r="19" spans="1:13" ht="60" x14ac:dyDescent="0.25">
      <c r="A19" t="s">
        <v>85</v>
      </c>
      <c r="B19" s="33">
        <v>2.1</v>
      </c>
      <c r="C19" s="24" t="s">
        <v>65</v>
      </c>
      <c r="D19" s="25" t="s">
        <v>75</v>
      </c>
      <c r="E19" s="35" t="s">
        <v>2</v>
      </c>
      <c r="F19" s="35" t="s">
        <v>2</v>
      </c>
      <c r="G19" s="41">
        <f>IF(E19="Yes",15,0)+IF(F19="Yes",15,0)</f>
        <v>0</v>
      </c>
      <c r="H19" s="149">
        <f>SUM(G19:G24)*(J19/100)</f>
        <v>0</v>
      </c>
      <c r="I19" s="34">
        <v>30</v>
      </c>
      <c r="J19" s="128">
        <v>40</v>
      </c>
    </row>
    <row r="20" spans="1:13" ht="45" x14ac:dyDescent="0.25">
      <c r="A20" t="s">
        <v>85</v>
      </c>
      <c r="B20" s="27">
        <v>2.2000000000000002</v>
      </c>
      <c r="C20" s="24" t="s">
        <v>66</v>
      </c>
      <c r="D20" s="24" t="s">
        <v>61</v>
      </c>
      <c r="E20" s="24"/>
      <c r="F20" s="35"/>
      <c r="G20" s="41">
        <f>(IF(F20="Monthly",15,IF(F20="Quarterly",12,IF(F20="Half Yearly",9,IF(F20="Annual",6,0)))))</f>
        <v>0</v>
      </c>
      <c r="H20" s="149"/>
      <c r="I20" s="26">
        <v>15</v>
      </c>
      <c r="J20" s="128"/>
    </row>
    <row r="21" spans="1:13" s="79" customFormat="1" ht="30" x14ac:dyDescent="0.25">
      <c r="A21" s="79" t="s">
        <v>85</v>
      </c>
      <c r="B21" s="89">
        <v>2.2999999999999998</v>
      </c>
      <c r="C21" s="81" t="s">
        <v>67</v>
      </c>
      <c r="D21" s="81" t="s">
        <v>32</v>
      </c>
      <c r="E21" s="81"/>
      <c r="F21" s="81" t="s">
        <v>74</v>
      </c>
      <c r="G21" s="82">
        <f>IF(E21=0,0,IF(E21&lt;3,8,IF(E21&lt;5,15,IF(E21&gt;5,20))))</f>
        <v>0</v>
      </c>
      <c r="H21" s="149"/>
      <c r="I21" s="83">
        <v>20</v>
      </c>
      <c r="J21" s="128"/>
      <c r="M21" s="79" t="s">
        <v>99</v>
      </c>
    </row>
    <row r="22" spans="1:13" ht="18.75" x14ac:dyDescent="0.25">
      <c r="A22" t="s">
        <v>85</v>
      </c>
      <c r="B22" s="27">
        <v>2.4</v>
      </c>
      <c r="C22" s="24" t="s">
        <v>68</v>
      </c>
      <c r="D22" s="24" t="s">
        <v>69</v>
      </c>
      <c r="E22" s="35" t="s">
        <v>2</v>
      </c>
      <c r="F22" s="24" t="s">
        <v>78</v>
      </c>
      <c r="G22" s="41">
        <f>IF(E22="Yes",10,0)</f>
        <v>0</v>
      </c>
      <c r="H22" s="149"/>
      <c r="I22" s="26">
        <v>10</v>
      </c>
      <c r="J22" s="128"/>
    </row>
    <row r="23" spans="1:13" ht="30" x14ac:dyDescent="0.25">
      <c r="A23" t="s">
        <v>85</v>
      </c>
      <c r="B23" s="27">
        <v>2.5</v>
      </c>
      <c r="C23" s="24" t="s">
        <v>70</v>
      </c>
      <c r="D23" s="24" t="s">
        <v>69</v>
      </c>
      <c r="E23" s="35" t="s">
        <v>2</v>
      </c>
      <c r="F23" s="24" t="s">
        <v>78</v>
      </c>
      <c r="G23" s="41">
        <f>IF(E23="Yes",10,0)</f>
        <v>0</v>
      </c>
      <c r="H23" s="149"/>
      <c r="I23" s="26">
        <v>10</v>
      </c>
      <c r="J23" s="128"/>
    </row>
    <row r="24" spans="1:13" ht="30" x14ac:dyDescent="0.25">
      <c r="A24" t="s">
        <v>85</v>
      </c>
      <c r="B24" s="27">
        <v>2.6</v>
      </c>
      <c r="C24" s="24" t="s">
        <v>71</v>
      </c>
      <c r="D24" s="24" t="s">
        <v>30</v>
      </c>
      <c r="E24" s="35" t="s">
        <v>2</v>
      </c>
      <c r="F24" s="24"/>
      <c r="G24" s="41">
        <f>IF(E24="Yes",15,0)</f>
        <v>0</v>
      </c>
      <c r="H24" s="149"/>
      <c r="I24" s="26">
        <v>15</v>
      </c>
      <c r="J24" s="128"/>
    </row>
    <row r="26" spans="1:13" x14ac:dyDescent="0.25">
      <c r="A26" t="s">
        <v>84</v>
      </c>
      <c r="B26" s="36">
        <v>1</v>
      </c>
      <c r="C26" s="1" t="s">
        <v>5</v>
      </c>
      <c r="D26" s="8"/>
      <c r="E26" s="8"/>
      <c r="F26" s="8"/>
      <c r="G26" s="8"/>
      <c r="H26" s="8"/>
      <c r="I26" s="9"/>
      <c r="J26" s="8"/>
    </row>
    <row r="27" spans="1:13" ht="30" x14ac:dyDescent="0.25">
      <c r="A27" t="s">
        <v>84</v>
      </c>
      <c r="B27" s="37">
        <v>1.1000000000000001</v>
      </c>
      <c r="C27" s="3" t="s">
        <v>6</v>
      </c>
      <c r="D27" s="4" t="s">
        <v>7</v>
      </c>
      <c r="E27" s="35">
        <v>0</v>
      </c>
      <c r="F27" s="4" t="s">
        <v>79</v>
      </c>
      <c r="G27" s="41">
        <f>IF(E27=0,0,IF(E27&lt;5,6,IF(E27&lt;10,8,IF(E27&gt;10,10))))</f>
        <v>0</v>
      </c>
      <c r="H27" s="149">
        <f>SUM(G27:G40)*(J27/100)</f>
        <v>18.2</v>
      </c>
      <c r="I27" s="2">
        <v>10</v>
      </c>
      <c r="J27" s="127">
        <v>70</v>
      </c>
    </row>
    <row r="28" spans="1:13" ht="30" x14ac:dyDescent="0.25">
      <c r="A28" t="s">
        <v>84</v>
      </c>
      <c r="B28" s="37">
        <v>1.2</v>
      </c>
      <c r="C28" s="3" t="s">
        <v>8</v>
      </c>
      <c r="D28" s="4" t="s">
        <v>7</v>
      </c>
      <c r="E28" s="35">
        <v>1</v>
      </c>
      <c r="F28" s="4" t="s">
        <v>79</v>
      </c>
      <c r="G28" s="41">
        <f>IF(E28=0,0,IF(E28&lt;5,6,IF(E28&lt;10,8,IF(E28&gt;10,10))))</f>
        <v>6</v>
      </c>
      <c r="H28" s="149"/>
      <c r="I28" s="2">
        <v>10</v>
      </c>
      <c r="J28" s="127"/>
    </row>
    <row r="29" spans="1:13" ht="30" x14ac:dyDescent="0.25">
      <c r="A29" t="s">
        <v>84</v>
      </c>
      <c r="B29" s="37">
        <v>1.3</v>
      </c>
      <c r="C29" s="3" t="s">
        <v>9</v>
      </c>
      <c r="D29" s="4" t="s">
        <v>7</v>
      </c>
      <c r="E29" s="35">
        <v>5</v>
      </c>
      <c r="F29" s="4" t="s">
        <v>79</v>
      </c>
      <c r="G29" s="41">
        <f>IF(E29=0,0,IF(E29&lt;5,6,IF(E29&lt;10,8,IF(E29&gt;10,10))))</f>
        <v>8</v>
      </c>
      <c r="H29" s="149"/>
      <c r="I29" s="2">
        <v>10</v>
      </c>
      <c r="J29" s="127"/>
    </row>
    <row r="30" spans="1:13" ht="30" x14ac:dyDescent="0.25">
      <c r="A30" t="s">
        <v>84</v>
      </c>
      <c r="B30" s="37">
        <v>1.4</v>
      </c>
      <c r="C30" s="3" t="s">
        <v>10</v>
      </c>
      <c r="D30" s="4" t="s">
        <v>7</v>
      </c>
      <c r="E30" s="35">
        <v>0</v>
      </c>
      <c r="F30" s="4" t="s">
        <v>79</v>
      </c>
      <c r="G30" s="41">
        <f>IF(E30=0,0,IF(E30&lt;5,6,IF(E30&lt;10,8,IF(E30&gt;10,10))))</f>
        <v>0</v>
      </c>
      <c r="H30" s="149"/>
      <c r="I30" s="2">
        <v>10</v>
      </c>
      <c r="J30" s="127"/>
    </row>
    <row r="31" spans="1:13" ht="45" x14ac:dyDescent="0.25">
      <c r="A31" t="s">
        <v>84</v>
      </c>
      <c r="B31" s="37">
        <v>1.5</v>
      </c>
      <c r="C31" s="3" t="s">
        <v>11</v>
      </c>
      <c r="D31" s="4" t="s">
        <v>7</v>
      </c>
      <c r="E31" s="35">
        <v>5</v>
      </c>
      <c r="F31" s="4"/>
      <c r="G31" s="41">
        <f>IF(E31=0,0,IF(E31&lt;5,10,IF(E31&lt;10,6,IF(E31&gt;10,2))))</f>
        <v>6</v>
      </c>
      <c r="H31" s="149"/>
      <c r="I31" s="2">
        <v>10</v>
      </c>
      <c r="J31" s="127"/>
    </row>
    <row r="32" spans="1:13" ht="45" x14ac:dyDescent="0.25">
      <c r="A32" t="s">
        <v>84</v>
      </c>
      <c r="B32" s="129">
        <v>1.6</v>
      </c>
      <c r="C32" s="5" t="s">
        <v>12</v>
      </c>
      <c r="D32" s="6" t="s">
        <v>13</v>
      </c>
      <c r="E32" s="35" t="s">
        <v>1</v>
      </c>
      <c r="F32" s="4" t="s">
        <v>14</v>
      </c>
      <c r="G32" s="41">
        <f>IF(E32="Yes",0,0)+IF(E34="Yes",2,0)+IF(E35="Yes",2,0)+IF(E36="Yes",2,0)+IF(E37="Yes",2,0)+IF(F34="Yes",3,0)+IF(F35="Yes",3,0)+IF(F36="Yes",3,0)+IF(F37="Yes",3,0)</f>
        <v>2</v>
      </c>
      <c r="H32" s="149"/>
      <c r="I32" s="2" t="s">
        <v>15</v>
      </c>
      <c r="J32" s="127"/>
    </row>
    <row r="33" spans="1:10" ht="18.75" x14ac:dyDescent="0.25">
      <c r="A33" t="s">
        <v>84</v>
      </c>
      <c r="B33" s="129"/>
      <c r="C33" s="3" t="s">
        <v>16</v>
      </c>
      <c r="D33" s="4"/>
      <c r="E33" s="4"/>
      <c r="F33" s="4"/>
      <c r="G33" s="41"/>
      <c r="H33" s="149"/>
      <c r="I33" s="2"/>
      <c r="J33" s="127"/>
    </row>
    <row r="34" spans="1:10" ht="18.75" x14ac:dyDescent="0.25">
      <c r="A34" t="s">
        <v>84</v>
      </c>
      <c r="B34" s="129"/>
      <c r="C34" s="3" t="s">
        <v>17</v>
      </c>
      <c r="D34" s="4" t="s">
        <v>13</v>
      </c>
      <c r="E34" s="35" t="s">
        <v>2</v>
      </c>
      <c r="F34" s="35" t="s">
        <v>2</v>
      </c>
      <c r="G34" s="41"/>
      <c r="H34" s="149"/>
      <c r="I34" s="2"/>
      <c r="J34" s="127"/>
    </row>
    <row r="35" spans="1:10" ht="18.75" x14ac:dyDescent="0.25">
      <c r="A35" t="s">
        <v>84</v>
      </c>
      <c r="B35" s="129"/>
      <c r="C35" s="3" t="s">
        <v>18</v>
      </c>
      <c r="D35" s="4" t="s">
        <v>13</v>
      </c>
      <c r="E35" s="35" t="s">
        <v>2</v>
      </c>
      <c r="F35" s="35" t="s">
        <v>2</v>
      </c>
      <c r="G35" s="41"/>
      <c r="H35" s="149"/>
      <c r="I35" s="2"/>
      <c r="J35" s="127"/>
    </row>
    <row r="36" spans="1:10" ht="18.75" x14ac:dyDescent="0.25">
      <c r="A36" t="s">
        <v>84</v>
      </c>
      <c r="B36" s="129"/>
      <c r="C36" s="3" t="s">
        <v>19</v>
      </c>
      <c r="D36" s="4" t="s">
        <v>13</v>
      </c>
      <c r="E36" s="35" t="s">
        <v>2</v>
      </c>
      <c r="F36" s="35" t="s">
        <v>2</v>
      </c>
      <c r="G36" s="41"/>
      <c r="H36" s="149"/>
      <c r="I36" s="2"/>
      <c r="J36" s="127"/>
    </row>
    <row r="37" spans="1:10" ht="18.75" x14ac:dyDescent="0.25">
      <c r="A37" t="s">
        <v>84</v>
      </c>
      <c r="B37" s="129"/>
      <c r="C37" s="3" t="s">
        <v>20</v>
      </c>
      <c r="D37" s="4" t="s">
        <v>13</v>
      </c>
      <c r="E37" s="35" t="s">
        <v>1</v>
      </c>
      <c r="F37" s="35" t="s">
        <v>2</v>
      </c>
      <c r="G37" s="41"/>
      <c r="H37" s="149"/>
      <c r="I37" s="2"/>
      <c r="J37" s="127"/>
    </row>
    <row r="38" spans="1:10" ht="18.75" x14ac:dyDescent="0.25">
      <c r="A38" t="s">
        <v>84</v>
      </c>
      <c r="B38" s="38">
        <v>1.7</v>
      </c>
      <c r="C38" s="7" t="s">
        <v>21</v>
      </c>
      <c r="D38" s="4" t="s">
        <v>7</v>
      </c>
      <c r="E38" s="35">
        <v>15</v>
      </c>
      <c r="F38" s="4"/>
      <c r="G38" s="41">
        <f>IF(E38=0,0,IF(E38&lt;5,10,IF(E38&lt;10,6,IF(E38&gt;10,2))))</f>
        <v>2</v>
      </c>
      <c r="H38" s="149"/>
      <c r="I38" s="2">
        <v>10</v>
      </c>
      <c r="J38" s="127"/>
    </row>
    <row r="39" spans="1:10" ht="30" x14ac:dyDescent="0.25">
      <c r="A39" t="s">
        <v>84</v>
      </c>
      <c r="B39" s="38">
        <v>1.8</v>
      </c>
      <c r="C39" s="3" t="s">
        <v>22</v>
      </c>
      <c r="D39" s="4" t="s">
        <v>7</v>
      </c>
      <c r="E39" s="35">
        <v>15</v>
      </c>
      <c r="F39" s="4"/>
      <c r="G39" s="41">
        <f>IF(E39=0,0,IF(E39&lt;25,2,IF(E39&lt;40,4,IF(E39&lt;55,6,IF(E39&lt;70,8,IF(E39&gt;70,10))))))</f>
        <v>2</v>
      </c>
      <c r="H39" s="149"/>
      <c r="I39" s="2">
        <v>10</v>
      </c>
      <c r="J39" s="127"/>
    </row>
    <row r="40" spans="1:10" ht="45" x14ac:dyDescent="0.25">
      <c r="A40" t="s">
        <v>84</v>
      </c>
      <c r="B40" s="38">
        <v>1.9</v>
      </c>
      <c r="C40" s="4" t="s">
        <v>23</v>
      </c>
      <c r="D40" s="4" t="s">
        <v>7</v>
      </c>
      <c r="E40" s="35">
        <v>0</v>
      </c>
      <c r="F40" s="4"/>
      <c r="G40" s="41">
        <f>IF(E40=0,0,IF(E40&lt;15,2,IF(E40&lt;30,4,IF(E40&lt;45,6,IF(E40&lt;60,8,IF(E40&gt;60,10,))))))</f>
        <v>0</v>
      </c>
      <c r="H40" s="149"/>
      <c r="I40" s="2">
        <v>10</v>
      </c>
      <c r="J40" s="127"/>
    </row>
    <row r="41" spans="1:10" x14ac:dyDescent="0.25">
      <c r="A41" t="s">
        <v>84</v>
      </c>
      <c r="B41" s="36">
        <v>2</v>
      </c>
      <c r="C41" s="1" t="s">
        <v>24</v>
      </c>
      <c r="D41" s="8"/>
      <c r="E41" s="8"/>
      <c r="F41" s="8"/>
      <c r="G41" s="8"/>
      <c r="H41" s="8"/>
      <c r="I41" s="9"/>
      <c r="J41" s="8"/>
    </row>
    <row r="42" spans="1:10" ht="30" x14ac:dyDescent="0.25">
      <c r="A42" t="s">
        <v>84</v>
      </c>
      <c r="B42" s="37">
        <v>2.1</v>
      </c>
      <c r="C42" s="3" t="s">
        <v>25</v>
      </c>
      <c r="D42" s="4" t="s">
        <v>13</v>
      </c>
      <c r="E42" s="35" t="s">
        <v>2</v>
      </c>
      <c r="F42" s="4"/>
      <c r="G42" s="41">
        <f>IF(E42="No",20,0)</f>
        <v>20</v>
      </c>
      <c r="H42" s="149">
        <f>SUM(G42:G45)*(J42/100)</f>
        <v>6</v>
      </c>
      <c r="I42" s="2">
        <v>20</v>
      </c>
      <c r="J42" s="127">
        <v>30</v>
      </c>
    </row>
    <row r="43" spans="1:10" ht="30" x14ac:dyDescent="0.25">
      <c r="A43" t="s">
        <v>84</v>
      </c>
      <c r="B43" s="37">
        <v>2.2000000000000002</v>
      </c>
      <c r="C43" s="3" t="s">
        <v>26</v>
      </c>
      <c r="D43" s="4" t="s">
        <v>80</v>
      </c>
      <c r="E43" s="35" t="s">
        <v>2</v>
      </c>
      <c r="F43" s="35" t="s">
        <v>2</v>
      </c>
      <c r="G43" s="41">
        <f>IF(E43="Yes",15,0)+IF(F43="Yes",15,0)</f>
        <v>0</v>
      </c>
      <c r="H43" s="149"/>
      <c r="I43" s="2">
        <v>30</v>
      </c>
      <c r="J43" s="127"/>
    </row>
    <row r="44" spans="1:10" ht="18.75" x14ac:dyDescent="0.25">
      <c r="A44" t="s">
        <v>84</v>
      </c>
      <c r="B44" s="37">
        <v>2.2999999999999998</v>
      </c>
      <c r="C44" s="3" t="s">
        <v>27</v>
      </c>
      <c r="D44" s="4" t="s">
        <v>13</v>
      </c>
      <c r="E44" s="35" t="s">
        <v>1</v>
      </c>
      <c r="F44" s="4"/>
      <c r="G44" s="41">
        <f>IF(E44="Yes",0,20)</f>
        <v>0</v>
      </c>
      <c r="H44" s="149"/>
      <c r="I44" s="2">
        <v>20</v>
      </c>
      <c r="J44" s="127"/>
    </row>
    <row r="45" spans="1:10" ht="30" x14ac:dyDescent="0.25">
      <c r="A45" t="s">
        <v>84</v>
      </c>
      <c r="B45" s="37">
        <v>2.4</v>
      </c>
      <c r="C45" s="3" t="s">
        <v>28</v>
      </c>
      <c r="D45" s="4" t="s">
        <v>13</v>
      </c>
      <c r="E45" s="35" t="s">
        <v>1</v>
      </c>
      <c r="F45" s="4"/>
      <c r="G45" s="41">
        <f>IF(E45="Yes",0,30)</f>
        <v>0</v>
      </c>
      <c r="H45" s="149"/>
      <c r="I45" s="2">
        <v>30</v>
      </c>
      <c r="J45" s="127"/>
    </row>
    <row r="47" spans="1:10" x14ac:dyDescent="0.25">
      <c r="A47" t="s">
        <v>83</v>
      </c>
      <c r="B47" s="11">
        <v>1</v>
      </c>
      <c r="C47" s="12" t="s">
        <v>29</v>
      </c>
      <c r="D47" s="13"/>
      <c r="E47" s="13"/>
      <c r="F47" s="14"/>
      <c r="G47" s="14"/>
      <c r="H47" s="14"/>
      <c r="I47" s="15"/>
      <c r="J47" s="13"/>
    </row>
    <row r="48" spans="1:10" ht="43.5" x14ac:dyDescent="0.25">
      <c r="A48" t="s">
        <v>83</v>
      </c>
      <c r="B48" s="10">
        <v>1.1000000000000001</v>
      </c>
      <c r="C48" s="16" t="s">
        <v>47</v>
      </c>
      <c r="D48" s="17" t="s">
        <v>30</v>
      </c>
      <c r="E48" s="35" t="s">
        <v>1</v>
      </c>
      <c r="F48" s="17"/>
      <c r="G48" s="153">
        <f>IF(E48="Yes",15,0)+IF(E49="Yes",30,0)</f>
        <v>15</v>
      </c>
      <c r="H48" s="155">
        <f>SUM(G48:G53)*(J48/100)</f>
        <v>9</v>
      </c>
      <c r="I48" s="18">
        <v>15</v>
      </c>
      <c r="J48" s="124">
        <v>60</v>
      </c>
    </row>
    <row r="49" spans="1:13" s="79" customFormat="1" x14ac:dyDescent="0.25">
      <c r="A49" s="79" t="s">
        <v>83</v>
      </c>
      <c r="B49" s="84" t="s">
        <v>81</v>
      </c>
      <c r="C49" s="85" t="s">
        <v>31</v>
      </c>
      <c r="D49" s="86" t="s">
        <v>32</v>
      </c>
      <c r="E49" s="81" t="s">
        <v>2</v>
      </c>
      <c r="F49" s="86" t="s">
        <v>33</v>
      </c>
      <c r="G49" s="154"/>
      <c r="H49" s="156"/>
      <c r="I49" s="87">
        <v>30</v>
      </c>
      <c r="J49" s="125"/>
      <c r="M49" s="79" t="s">
        <v>96</v>
      </c>
    </row>
    <row r="50" spans="1:13" s="79" customFormat="1" ht="18.75" x14ac:dyDescent="0.25">
      <c r="A50" s="79" t="s">
        <v>83</v>
      </c>
      <c r="B50" s="84">
        <v>1.2</v>
      </c>
      <c r="C50" s="85" t="s">
        <v>34</v>
      </c>
      <c r="D50" s="86" t="s">
        <v>32</v>
      </c>
      <c r="E50" s="81">
        <v>0</v>
      </c>
      <c r="F50" s="88" t="s">
        <v>79</v>
      </c>
      <c r="G50" s="82">
        <f>IF(E50=0,0,IF(E50&lt;3,8,IF(E50&lt;5,16,IF(E50&gt;5,20))))</f>
        <v>0</v>
      </c>
      <c r="H50" s="156"/>
      <c r="I50" s="87">
        <v>20</v>
      </c>
      <c r="J50" s="125"/>
      <c r="M50" s="79" t="s">
        <v>97</v>
      </c>
    </row>
    <row r="51" spans="1:13" ht="18.75" x14ac:dyDescent="0.25">
      <c r="A51" t="s">
        <v>83</v>
      </c>
      <c r="B51" s="10">
        <v>1.3</v>
      </c>
      <c r="C51" s="16" t="s">
        <v>35</v>
      </c>
      <c r="D51" s="18" t="s">
        <v>30</v>
      </c>
      <c r="E51" s="35" t="s">
        <v>2</v>
      </c>
      <c r="F51" s="17"/>
      <c r="G51" s="41">
        <f>IF(E51="Yes",10,0)</f>
        <v>0</v>
      </c>
      <c r="H51" s="156"/>
      <c r="I51" s="18">
        <v>10</v>
      </c>
      <c r="J51" s="125"/>
    </row>
    <row r="52" spans="1:13" ht="18.75" x14ac:dyDescent="0.25">
      <c r="A52" t="s">
        <v>83</v>
      </c>
      <c r="B52" s="10">
        <v>1.4</v>
      </c>
      <c r="C52" s="16" t="s">
        <v>36</v>
      </c>
      <c r="D52" s="18" t="s">
        <v>30</v>
      </c>
      <c r="E52" s="35" t="s">
        <v>2</v>
      </c>
      <c r="F52" s="17"/>
      <c r="G52" s="41">
        <f>IF(E52="Yes",10,0)</f>
        <v>0</v>
      </c>
      <c r="H52" s="156"/>
      <c r="I52" s="18">
        <v>10</v>
      </c>
      <c r="J52" s="125"/>
    </row>
    <row r="53" spans="1:13" ht="18.75" x14ac:dyDescent="0.25">
      <c r="A53" t="s">
        <v>83</v>
      </c>
      <c r="B53" s="10">
        <v>1.5</v>
      </c>
      <c r="C53" s="16" t="s">
        <v>37</v>
      </c>
      <c r="D53" s="18" t="s">
        <v>38</v>
      </c>
      <c r="E53" s="35">
        <v>45</v>
      </c>
      <c r="F53" s="4" t="s">
        <v>79</v>
      </c>
      <c r="G53" s="41">
        <f>IF(E53=0,0,IF(E53&lt;3,15,IF(E53&lt;5,10,IF(E53&lt;10,5,IF(E53&gt;10,0)))))</f>
        <v>0</v>
      </c>
      <c r="H53" s="157"/>
      <c r="I53" s="18">
        <v>15</v>
      </c>
      <c r="J53" s="135"/>
    </row>
    <row r="54" spans="1:13" x14ac:dyDescent="0.25">
      <c r="A54" t="s">
        <v>83</v>
      </c>
      <c r="B54" s="11">
        <v>2</v>
      </c>
      <c r="C54" s="12" t="s">
        <v>39</v>
      </c>
      <c r="D54" s="13"/>
      <c r="E54" s="13"/>
      <c r="F54" s="14"/>
      <c r="G54" s="14"/>
      <c r="H54" s="14"/>
      <c r="I54" s="15"/>
      <c r="J54" s="13"/>
    </row>
    <row r="55" spans="1:13" ht="30" x14ac:dyDescent="0.25">
      <c r="A55" t="s">
        <v>83</v>
      </c>
      <c r="B55" s="42">
        <v>2.1</v>
      </c>
      <c r="C55" s="19" t="s">
        <v>40</v>
      </c>
      <c r="D55" s="40" t="s">
        <v>82</v>
      </c>
      <c r="E55" s="35" t="s">
        <v>91</v>
      </c>
      <c r="F55" s="35" t="s">
        <v>2</v>
      </c>
      <c r="G55" s="41">
        <f>IF(E55="Yes",15,IF(E55="No",0,IF(E55="WIP",5,)))+IF(F55="Yes",5,0)</f>
        <v>5</v>
      </c>
      <c r="H55" s="150">
        <f>SUM(G55:G61)*(J55/100)</f>
        <v>6</v>
      </c>
      <c r="I55" s="18">
        <v>20</v>
      </c>
      <c r="J55" s="124">
        <v>40</v>
      </c>
    </row>
    <row r="56" spans="1:13" ht="18.75" x14ac:dyDescent="0.25">
      <c r="A56" t="s">
        <v>83</v>
      </c>
      <c r="B56" s="10">
        <v>2.2000000000000002</v>
      </c>
      <c r="C56" s="19" t="s">
        <v>41</v>
      </c>
      <c r="D56" s="17" t="s">
        <v>30</v>
      </c>
      <c r="E56" s="35" t="s">
        <v>2</v>
      </c>
      <c r="F56" s="17"/>
      <c r="G56" s="41">
        <f>IF(E56="Yes",10,0)</f>
        <v>0</v>
      </c>
      <c r="H56" s="151"/>
      <c r="I56" s="18">
        <v>10</v>
      </c>
      <c r="J56" s="125"/>
    </row>
    <row r="57" spans="1:13" ht="18.75" x14ac:dyDescent="0.25">
      <c r="A57" t="s">
        <v>83</v>
      </c>
      <c r="B57" s="10">
        <v>2.2999999999999998</v>
      </c>
      <c r="C57" s="19" t="s">
        <v>42</v>
      </c>
      <c r="D57" s="17" t="s">
        <v>30</v>
      </c>
      <c r="E57" s="35" t="s">
        <v>1</v>
      </c>
      <c r="F57" s="17"/>
      <c r="G57" s="41">
        <f>IF(E57="Yes",10,0)</f>
        <v>10</v>
      </c>
      <c r="H57" s="151"/>
      <c r="I57" s="18">
        <v>10</v>
      </c>
      <c r="J57" s="125"/>
    </row>
    <row r="58" spans="1:13" ht="18.75" x14ac:dyDescent="0.25">
      <c r="A58" t="s">
        <v>83</v>
      </c>
      <c r="B58" s="10">
        <v>2.4</v>
      </c>
      <c r="C58" s="19" t="s">
        <v>43</v>
      </c>
      <c r="D58" s="17" t="s">
        <v>38</v>
      </c>
      <c r="E58" s="35">
        <v>0</v>
      </c>
      <c r="F58" s="4" t="s">
        <v>79</v>
      </c>
      <c r="G58" s="41">
        <f>IF(E58=0,0,IF(E58&lt;8,5,IF(E58&lt;16,10,IF(E58&gt;16,15))))</f>
        <v>0</v>
      </c>
      <c r="H58" s="151"/>
      <c r="I58" s="18">
        <v>15</v>
      </c>
      <c r="J58" s="125"/>
    </row>
    <row r="59" spans="1:13" ht="18.75" x14ac:dyDescent="0.25">
      <c r="A59" t="s">
        <v>83</v>
      </c>
      <c r="B59" s="10">
        <v>2.5</v>
      </c>
      <c r="C59" s="20" t="s">
        <v>44</v>
      </c>
      <c r="D59" s="17" t="s">
        <v>30</v>
      </c>
      <c r="E59" s="35" t="s">
        <v>2</v>
      </c>
      <c r="F59" s="17"/>
      <c r="G59" s="41">
        <f>IF(E59="Yes",15,0)</f>
        <v>0</v>
      </c>
      <c r="H59" s="151"/>
      <c r="I59" s="18">
        <v>15</v>
      </c>
      <c r="J59" s="125"/>
    </row>
    <row r="60" spans="1:13" ht="18.75" x14ac:dyDescent="0.25">
      <c r="A60" t="s">
        <v>83</v>
      </c>
      <c r="B60" s="10">
        <v>2.6</v>
      </c>
      <c r="C60" s="21" t="s">
        <v>45</v>
      </c>
      <c r="D60" s="17" t="s">
        <v>7</v>
      </c>
      <c r="E60" s="35">
        <v>0</v>
      </c>
      <c r="F60" s="4" t="s">
        <v>79</v>
      </c>
      <c r="G60" s="41">
        <f>IF(E60=0,0,IF(E60&lt;5,15,IF(E60&lt;10,10,IF(E60&lt;15,5,IF(E60&gt;15,0)))))</f>
        <v>0</v>
      </c>
      <c r="H60" s="151"/>
      <c r="I60" s="18">
        <v>15</v>
      </c>
      <c r="J60" s="125"/>
    </row>
    <row r="61" spans="1:13" ht="18.75" x14ac:dyDescent="0.25">
      <c r="A61" t="s">
        <v>83</v>
      </c>
      <c r="B61" s="10">
        <v>2.7</v>
      </c>
      <c r="C61" s="20" t="s">
        <v>46</v>
      </c>
      <c r="D61" s="17" t="s">
        <v>30</v>
      </c>
      <c r="E61" s="35" t="s">
        <v>2</v>
      </c>
      <c r="F61" s="17"/>
      <c r="G61" s="41">
        <f>IF(E61="Yes",15,0)</f>
        <v>0</v>
      </c>
      <c r="H61" s="152"/>
      <c r="I61" s="18">
        <v>15</v>
      </c>
      <c r="J61" s="125"/>
    </row>
    <row r="63" spans="1:13" x14ac:dyDescent="0.25">
      <c r="F63" t="s">
        <v>86</v>
      </c>
      <c r="H63">
        <f>SUM(H8:H61)</f>
        <v>67.400000000000006</v>
      </c>
    </row>
  </sheetData>
  <mergeCells count="17">
    <mergeCell ref="I7:J7"/>
    <mergeCell ref="G8:G9"/>
    <mergeCell ref="H8:H17"/>
    <mergeCell ref="J8:J16"/>
    <mergeCell ref="B18:C18"/>
    <mergeCell ref="B32:B37"/>
    <mergeCell ref="H42:H45"/>
    <mergeCell ref="J42:J45"/>
    <mergeCell ref="G48:G49"/>
    <mergeCell ref="H48:H53"/>
    <mergeCell ref="J48:J53"/>
    <mergeCell ref="H19:H24"/>
    <mergeCell ref="J19:J24"/>
    <mergeCell ref="H55:H61"/>
    <mergeCell ref="J55:J61"/>
    <mergeCell ref="H27:H40"/>
    <mergeCell ref="J27:J40"/>
  </mergeCells>
  <dataValidations count="3">
    <dataValidation type="list" allowBlank="1" showInputMessage="1" showErrorMessage="1" sqref="E55">
      <formula1>"Yes, No, WIP"</formula1>
    </dataValidation>
    <dataValidation type="list" allowBlank="1" showInputMessage="1" showErrorMessage="1" sqref="F14 F16 F20">
      <formula1>"Monthly, Quarterly, Half Yearly, Annual"</formula1>
    </dataValidation>
    <dataValidation type="list" allowBlank="1" showInputMessage="1" showErrorMessage="1" sqref="E8:E9 E12:E16 F13 E19:F19 E22:E24 E32 E34:F37 F43 E42:E45 E48:E49 E51:E52 F55 E56:E57 E59 E61">
      <formula1>"Yes, 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topLeftCell="A40" workbookViewId="0">
      <selection activeCell="G46" sqref="G46"/>
    </sheetView>
  </sheetViews>
  <sheetFormatPr defaultRowHeight="15" x14ac:dyDescent="0.25"/>
  <cols>
    <col min="1" max="1" width="12.42578125" bestFit="1" customWidth="1"/>
    <col min="3" max="3" width="57.42578125" customWidth="1"/>
    <col min="4" max="4" width="26.5703125" customWidth="1"/>
    <col min="5" max="5" width="10.42578125" bestFit="1" customWidth="1"/>
    <col min="6" max="6" width="48.5703125" customWidth="1"/>
  </cols>
  <sheetData>
    <row r="2" spans="1:10" x14ac:dyDescent="0.25">
      <c r="A2" s="23" t="s">
        <v>85</v>
      </c>
      <c r="B2">
        <v>40</v>
      </c>
      <c r="C2">
        <f>(H8+H19)*(B2/100)</f>
        <v>4.08</v>
      </c>
    </row>
    <row r="3" spans="1:10" x14ac:dyDescent="0.25">
      <c r="A3" s="44" t="s">
        <v>84</v>
      </c>
      <c r="B3">
        <v>30</v>
      </c>
      <c r="C3">
        <f>(H27+H42)*(B3/100)</f>
        <v>1.77</v>
      </c>
    </row>
    <row r="4" spans="1:10" x14ac:dyDescent="0.25">
      <c r="A4" s="11" t="s">
        <v>83</v>
      </c>
      <c r="B4">
        <v>30</v>
      </c>
      <c r="C4">
        <f>(H48+H55)*(B4/100)</f>
        <v>4.8600000000000003</v>
      </c>
    </row>
    <row r="5" spans="1:10" x14ac:dyDescent="0.25">
      <c r="A5" s="43" t="s">
        <v>86</v>
      </c>
      <c r="B5">
        <f>SUM(B2:B4)</f>
        <v>100</v>
      </c>
      <c r="C5">
        <f>SUM(C2:C4)</f>
        <v>10.71</v>
      </c>
    </row>
    <row r="7" spans="1:10" x14ac:dyDescent="0.25">
      <c r="A7" t="s">
        <v>85</v>
      </c>
      <c r="B7" s="23">
        <v>1</v>
      </c>
      <c r="C7" s="22" t="s">
        <v>48</v>
      </c>
      <c r="D7" s="22" t="s">
        <v>3</v>
      </c>
      <c r="E7" s="22" t="s">
        <v>0</v>
      </c>
      <c r="F7" s="22" t="s">
        <v>4</v>
      </c>
      <c r="G7" s="22"/>
      <c r="H7" s="22"/>
      <c r="I7" s="141" t="s">
        <v>49</v>
      </c>
      <c r="J7" s="141"/>
    </row>
    <row r="8" spans="1:10" ht="45" x14ac:dyDescent="0.25">
      <c r="A8" t="s">
        <v>85</v>
      </c>
      <c r="B8" s="27">
        <v>1.1000000000000001</v>
      </c>
      <c r="C8" s="24" t="s">
        <v>50</v>
      </c>
      <c r="D8" s="25" t="s">
        <v>30</v>
      </c>
      <c r="E8" s="35" t="s">
        <v>1</v>
      </c>
      <c r="F8" s="25"/>
      <c r="G8" s="158">
        <f>IF(E8="Yes",5,0)+IF(E9="Yes",5,0)</f>
        <v>5</v>
      </c>
      <c r="H8" s="149">
        <f>SUM(G8:G17)*(J8/100)</f>
        <v>4.2</v>
      </c>
      <c r="I8" s="27">
        <v>10</v>
      </c>
      <c r="J8" s="142">
        <v>20</v>
      </c>
    </row>
    <row r="9" spans="1:10" ht="30" x14ac:dyDescent="0.25">
      <c r="A9" t="s">
        <v>85</v>
      </c>
      <c r="B9" s="27"/>
      <c r="C9" s="24" t="s">
        <v>72</v>
      </c>
      <c r="D9" s="25" t="s">
        <v>51</v>
      </c>
      <c r="E9" s="35" t="s">
        <v>2</v>
      </c>
      <c r="F9" s="25" t="s">
        <v>52</v>
      </c>
      <c r="G9" s="158"/>
      <c r="H9" s="149"/>
      <c r="I9" s="27"/>
      <c r="J9" s="142"/>
    </row>
    <row r="10" spans="1:10" ht="30" x14ac:dyDescent="0.25">
      <c r="A10" t="s">
        <v>85</v>
      </c>
      <c r="B10" s="28">
        <v>1.2</v>
      </c>
      <c r="C10" s="24" t="s">
        <v>53</v>
      </c>
      <c r="D10" s="24" t="s">
        <v>73</v>
      </c>
      <c r="E10" s="35"/>
      <c r="F10" s="24" t="s">
        <v>74</v>
      </c>
      <c r="G10" s="41">
        <f>IF(E10=0,0,IF(E10&lt;3,8,IF(E10&lt;5,15,IF(E10&gt;5,20))))</f>
        <v>0</v>
      </c>
      <c r="H10" s="149"/>
      <c r="I10" s="27">
        <v>20</v>
      </c>
      <c r="J10" s="142"/>
    </row>
    <row r="11" spans="1:10" ht="105" x14ac:dyDescent="0.25">
      <c r="A11" t="s">
        <v>85</v>
      </c>
      <c r="B11" s="27">
        <v>1.3</v>
      </c>
      <c r="C11" s="29" t="s">
        <v>54</v>
      </c>
      <c r="D11" s="30" t="s">
        <v>55</v>
      </c>
      <c r="E11" s="35">
        <v>2</v>
      </c>
      <c r="F11" s="31" t="s">
        <v>56</v>
      </c>
      <c r="G11" s="41">
        <f>IF(E11=0,0,IF(E11&lt;3,8,IF(E11&lt;5,15,IF(E11&gt;5,20))))</f>
        <v>8</v>
      </c>
      <c r="H11" s="149"/>
      <c r="I11" s="32">
        <v>20</v>
      </c>
      <c r="J11" s="142"/>
    </row>
    <row r="12" spans="1:10" ht="30" x14ac:dyDescent="0.25">
      <c r="A12" t="s">
        <v>85</v>
      </c>
      <c r="B12" s="27" t="s">
        <v>57</v>
      </c>
      <c r="C12" s="29" t="s">
        <v>58</v>
      </c>
      <c r="D12" s="30" t="s">
        <v>30</v>
      </c>
      <c r="E12" s="35" t="s">
        <v>1</v>
      </c>
      <c r="F12" s="31"/>
      <c r="G12" s="41">
        <f>IF(E12="Yes",0,10)</f>
        <v>0</v>
      </c>
      <c r="H12" s="149"/>
      <c r="I12" s="32">
        <v>10</v>
      </c>
      <c r="J12" s="142"/>
    </row>
    <row r="13" spans="1:10" ht="45" x14ac:dyDescent="0.25">
      <c r="A13" t="s">
        <v>85</v>
      </c>
      <c r="B13" s="27" t="s">
        <v>59</v>
      </c>
      <c r="C13" s="24" t="s">
        <v>60</v>
      </c>
      <c r="D13" s="25" t="s">
        <v>75</v>
      </c>
      <c r="E13" s="35" t="s">
        <v>1</v>
      </c>
      <c r="F13" s="35" t="s">
        <v>2</v>
      </c>
      <c r="G13" s="41">
        <f>IF(E13="Yes",5,0)+IF(F13="Yes",5,0)</f>
        <v>5</v>
      </c>
      <c r="H13" s="149"/>
      <c r="I13" s="27">
        <v>10</v>
      </c>
      <c r="J13" s="142"/>
    </row>
    <row r="14" spans="1:10" ht="30" x14ac:dyDescent="0.25">
      <c r="A14" t="s">
        <v>85</v>
      </c>
      <c r="B14" s="27">
        <v>1.6</v>
      </c>
      <c r="C14" s="24" t="s">
        <v>76</v>
      </c>
      <c r="D14" s="24" t="s">
        <v>61</v>
      </c>
      <c r="E14" s="35" t="s">
        <v>2</v>
      </c>
      <c r="F14" s="35"/>
      <c r="G14" s="41">
        <f>IF(E14="Yes",5,0)+(IF(F14="Monthly",5,IF(F14="Quarterly",4,IF(F14="Half Yearly",3,IF(F14="Annual",2,0)))))</f>
        <v>0</v>
      </c>
      <c r="H14" s="149"/>
      <c r="I14" s="27">
        <v>10</v>
      </c>
      <c r="J14" s="142"/>
    </row>
    <row r="15" spans="1:10" ht="30" x14ac:dyDescent="0.25">
      <c r="A15" t="s">
        <v>85</v>
      </c>
      <c r="B15" s="27">
        <v>1.7</v>
      </c>
      <c r="C15" s="24" t="s">
        <v>62</v>
      </c>
      <c r="D15" s="25" t="s">
        <v>30</v>
      </c>
      <c r="E15" s="35" t="s">
        <v>2</v>
      </c>
      <c r="F15" s="25" t="s">
        <v>63</v>
      </c>
      <c r="G15" s="41">
        <f>IF(E15="Yes",10,0)</f>
        <v>0</v>
      </c>
      <c r="H15" s="149"/>
      <c r="I15" s="27">
        <v>10</v>
      </c>
      <c r="J15" s="142"/>
    </row>
    <row r="16" spans="1:10" ht="30" x14ac:dyDescent="0.25">
      <c r="A16" t="s">
        <v>85</v>
      </c>
      <c r="B16" s="27">
        <v>1.8</v>
      </c>
      <c r="C16" s="24" t="s">
        <v>77</v>
      </c>
      <c r="D16" s="24" t="s">
        <v>61</v>
      </c>
      <c r="E16" s="35" t="s">
        <v>2</v>
      </c>
      <c r="F16" s="35" t="s">
        <v>90</v>
      </c>
      <c r="G16" s="41">
        <f>IF(E16="Yes",5,0)+(IF(F16="Monthly",5,IF(F16="Quarterly",4,IF(F16="Half Yearly",3,IF(F16="Annual",2,0)))))</f>
        <v>3</v>
      </c>
      <c r="H16" s="149"/>
      <c r="I16" s="27">
        <v>10</v>
      </c>
      <c r="J16" s="142"/>
    </row>
    <row r="17" spans="1:10" ht="18.75" x14ac:dyDescent="0.25">
      <c r="A17" t="s">
        <v>85</v>
      </c>
      <c r="B17" s="27"/>
      <c r="C17" s="24"/>
      <c r="D17" s="25"/>
      <c r="E17" s="25"/>
      <c r="F17" s="25"/>
      <c r="G17" s="41"/>
      <c r="H17" s="149"/>
      <c r="I17" s="26"/>
      <c r="J17" s="26"/>
    </row>
    <row r="18" spans="1:10" ht="18.75" x14ac:dyDescent="0.25">
      <c r="A18" t="s">
        <v>85</v>
      </c>
      <c r="B18" s="143" t="s">
        <v>64</v>
      </c>
      <c r="C18" s="143"/>
      <c r="D18" s="22"/>
      <c r="E18" s="22"/>
      <c r="F18" s="22"/>
      <c r="G18" s="41"/>
      <c r="H18" s="39"/>
      <c r="I18" s="22"/>
      <c r="J18" s="22"/>
    </row>
    <row r="19" spans="1:10" ht="60" x14ac:dyDescent="0.25">
      <c r="A19" t="s">
        <v>85</v>
      </c>
      <c r="B19" s="33">
        <v>2.1</v>
      </c>
      <c r="C19" s="24" t="s">
        <v>65</v>
      </c>
      <c r="D19" s="25" t="s">
        <v>75</v>
      </c>
      <c r="E19" s="35" t="s">
        <v>1</v>
      </c>
      <c r="F19" s="35" t="s">
        <v>2</v>
      </c>
      <c r="G19" s="41">
        <f>IF(E19="Yes",15,0)+IF(F19="Yes",15,0)</f>
        <v>15</v>
      </c>
      <c r="H19" s="149">
        <f>SUM(G19:G24)*(J19/100)</f>
        <v>6</v>
      </c>
      <c r="I19" s="34">
        <v>30</v>
      </c>
      <c r="J19" s="128">
        <v>15</v>
      </c>
    </row>
    <row r="20" spans="1:10" ht="45" x14ac:dyDescent="0.25">
      <c r="A20" t="s">
        <v>85</v>
      </c>
      <c r="B20" s="27">
        <v>2.2000000000000002</v>
      </c>
      <c r="C20" s="24" t="s">
        <v>66</v>
      </c>
      <c r="D20" s="24" t="s">
        <v>61</v>
      </c>
      <c r="E20" s="24"/>
      <c r="F20" s="35" t="s">
        <v>88</v>
      </c>
      <c r="G20" s="41">
        <f>(IF(F20="Monthly",15,IF(F20="Quarterly",12,IF(F20="Half Yearly",9,IF(F20="Annual",6,0)))))</f>
        <v>15</v>
      </c>
      <c r="H20" s="149"/>
      <c r="I20" s="26">
        <v>15</v>
      </c>
      <c r="J20" s="128"/>
    </row>
    <row r="21" spans="1:10" ht="30" x14ac:dyDescent="0.25">
      <c r="A21" t="s">
        <v>85</v>
      </c>
      <c r="B21" s="27">
        <v>2.2999999999999998</v>
      </c>
      <c r="C21" s="24" t="s">
        <v>67</v>
      </c>
      <c r="D21" s="24" t="s">
        <v>32</v>
      </c>
      <c r="E21" s="35"/>
      <c r="F21" s="24" t="s">
        <v>74</v>
      </c>
      <c r="G21" s="41">
        <f>IF(E21=0,0,IF(E21&lt;3,8,IF(E21&lt;5,15,IF(E21&gt;5,20))))</f>
        <v>0</v>
      </c>
      <c r="H21" s="149"/>
      <c r="I21" s="26">
        <v>20</v>
      </c>
      <c r="J21" s="128"/>
    </row>
    <row r="22" spans="1:10" ht="18.75" x14ac:dyDescent="0.25">
      <c r="A22" t="s">
        <v>85</v>
      </c>
      <c r="B22" s="27">
        <v>2.4</v>
      </c>
      <c r="C22" s="24" t="s">
        <v>68</v>
      </c>
      <c r="D22" s="24" t="s">
        <v>69</v>
      </c>
      <c r="E22" s="35" t="s">
        <v>2</v>
      </c>
      <c r="F22" s="24" t="s">
        <v>78</v>
      </c>
      <c r="G22" s="41">
        <f>IF(E22="Yes",10,0)</f>
        <v>0</v>
      </c>
      <c r="H22" s="149"/>
      <c r="I22" s="26">
        <v>10</v>
      </c>
      <c r="J22" s="128"/>
    </row>
    <row r="23" spans="1:10" ht="30" x14ac:dyDescent="0.25">
      <c r="A23" t="s">
        <v>85</v>
      </c>
      <c r="B23" s="27">
        <v>2.5</v>
      </c>
      <c r="C23" s="24" t="s">
        <v>70</v>
      </c>
      <c r="D23" s="24" t="s">
        <v>69</v>
      </c>
      <c r="E23" s="35" t="s">
        <v>1</v>
      </c>
      <c r="F23" s="24" t="s">
        <v>78</v>
      </c>
      <c r="G23" s="41">
        <f>IF(E23="Yes",10,0)</f>
        <v>10</v>
      </c>
      <c r="H23" s="149"/>
      <c r="I23" s="26">
        <v>10</v>
      </c>
      <c r="J23" s="128"/>
    </row>
    <row r="24" spans="1:10" ht="30" x14ac:dyDescent="0.25">
      <c r="A24" t="s">
        <v>85</v>
      </c>
      <c r="B24" s="27">
        <v>2.6</v>
      </c>
      <c r="C24" s="24" t="s">
        <v>71</v>
      </c>
      <c r="D24" s="24" t="s">
        <v>30</v>
      </c>
      <c r="E24" s="35" t="s">
        <v>2</v>
      </c>
      <c r="F24" s="24"/>
      <c r="G24" s="41">
        <f>IF(E24="Yes",15,0)</f>
        <v>0</v>
      </c>
      <c r="H24" s="149"/>
      <c r="I24" s="26">
        <v>15</v>
      </c>
      <c r="J24" s="128"/>
    </row>
    <row r="26" spans="1:10" x14ac:dyDescent="0.25">
      <c r="A26" t="s">
        <v>84</v>
      </c>
      <c r="B26" s="36">
        <v>1</v>
      </c>
      <c r="C26" s="1" t="s">
        <v>5</v>
      </c>
      <c r="D26" s="8"/>
      <c r="E26" s="8"/>
      <c r="F26" s="8"/>
      <c r="G26" s="8"/>
      <c r="H26" s="8"/>
      <c r="I26" s="9"/>
      <c r="J26" s="8"/>
    </row>
    <row r="27" spans="1:10" ht="30" x14ac:dyDescent="0.25">
      <c r="A27" t="s">
        <v>84</v>
      </c>
      <c r="B27" s="37">
        <v>1.1000000000000001</v>
      </c>
      <c r="C27" s="3" t="s">
        <v>6</v>
      </c>
      <c r="D27" s="4" t="s">
        <v>7</v>
      </c>
      <c r="E27" s="35">
        <v>3</v>
      </c>
      <c r="F27" s="4" t="s">
        <v>79</v>
      </c>
      <c r="G27" s="41">
        <f>IF(E27=0,0,IF(E27&lt;5,6,IF(E27&lt;10,8,IF(E27&gt;10,10))))</f>
        <v>6</v>
      </c>
      <c r="H27" s="149">
        <f>SUM(G27:G40)*(J27/100)</f>
        <v>3.4000000000000004</v>
      </c>
      <c r="I27" s="2">
        <v>10</v>
      </c>
      <c r="J27" s="127">
        <v>10</v>
      </c>
    </row>
    <row r="28" spans="1:10" ht="30" x14ac:dyDescent="0.25">
      <c r="A28" t="s">
        <v>84</v>
      </c>
      <c r="B28" s="37">
        <v>1.2</v>
      </c>
      <c r="C28" s="3" t="s">
        <v>8</v>
      </c>
      <c r="D28" s="4" t="s">
        <v>7</v>
      </c>
      <c r="E28" s="35">
        <v>3</v>
      </c>
      <c r="F28" s="4" t="s">
        <v>79</v>
      </c>
      <c r="G28" s="41">
        <f>IF(E28=0,0,IF(E28&lt;5,6,IF(E28&lt;10,8,IF(E28&gt;10,10))))</f>
        <v>6</v>
      </c>
      <c r="H28" s="149"/>
      <c r="I28" s="2">
        <v>10</v>
      </c>
      <c r="J28" s="127"/>
    </row>
    <row r="29" spans="1:10" ht="30" x14ac:dyDescent="0.25">
      <c r="A29" t="s">
        <v>84</v>
      </c>
      <c r="B29" s="37">
        <v>1.3</v>
      </c>
      <c r="C29" s="3" t="s">
        <v>9</v>
      </c>
      <c r="D29" s="4" t="s">
        <v>7</v>
      </c>
      <c r="E29" s="35">
        <v>0</v>
      </c>
      <c r="F29" s="4" t="s">
        <v>79</v>
      </c>
      <c r="G29" s="41">
        <f>IF(E29=0,0,IF(E29&lt;5,6,IF(E29&lt;10,8,IF(E29&gt;10,10))))</f>
        <v>0</v>
      </c>
      <c r="H29" s="149"/>
      <c r="I29" s="2">
        <v>10</v>
      </c>
      <c r="J29" s="127"/>
    </row>
    <row r="30" spans="1:10" ht="30" x14ac:dyDescent="0.25">
      <c r="A30" t="s">
        <v>84</v>
      </c>
      <c r="B30" s="37">
        <v>1.4</v>
      </c>
      <c r="C30" s="3" t="s">
        <v>10</v>
      </c>
      <c r="D30" s="4" t="s">
        <v>7</v>
      </c>
      <c r="E30" s="35">
        <v>0</v>
      </c>
      <c r="F30" s="4" t="s">
        <v>79</v>
      </c>
      <c r="G30" s="41">
        <f>IF(E30=0,0,IF(E30&lt;5,6,IF(E30&lt;10,8,IF(E30&gt;10,10))))</f>
        <v>0</v>
      </c>
      <c r="H30" s="149"/>
      <c r="I30" s="2">
        <v>10</v>
      </c>
      <c r="J30" s="127"/>
    </row>
    <row r="31" spans="1:10" ht="45" x14ac:dyDescent="0.25">
      <c r="A31" t="s">
        <v>84</v>
      </c>
      <c r="B31" s="37">
        <v>1.5</v>
      </c>
      <c r="C31" s="3" t="s">
        <v>11</v>
      </c>
      <c r="D31" s="4" t="s">
        <v>7</v>
      </c>
      <c r="E31" s="35">
        <v>110</v>
      </c>
      <c r="F31" s="4"/>
      <c r="G31" s="41">
        <f>IF(E31=0,0,IF(E31&lt;5,10,IF(E31&lt;10,6,IF(E31&gt;10,2))))</f>
        <v>2</v>
      </c>
      <c r="H31" s="149"/>
      <c r="I31" s="2">
        <v>10</v>
      </c>
      <c r="J31" s="127"/>
    </row>
    <row r="32" spans="1:10" ht="45" x14ac:dyDescent="0.25">
      <c r="A32" t="s">
        <v>84</v>
      </c>
      <c r="B32" s="129">
        <v>1.6</v>
      </c>
      <c r="C32" s="5" t="s">
        <v>12</v>
      </c>
      <c r="D32" s="6" t="s">
        <v>13</v>
      </c>
      <c r="E32" s="35" t="s">
        <v>1</v>
      </c>
      <c r="F32" s="4" t="s">
        <v>14</v>
      </c>
      <c r="G32" s="41">
        <f>IF(E32="Yes",0,0)+IF(E34="Yes",2,0)+IF(E35="Yes",2,0)+IF(E36="Yes",2,0)+IF(E37="Yes",2,0)+IF(F34="Yes",3,0)+IF(F35="Yes",3,0)+IF(F36="Yes",3,0)+IF(F37="Yes",3,0)</f>
        <v>10</v>
      </c>
      <c r="H32" s="149"/>
      <c r="I32" s="2" t="s">
        <v>15</v>
      </c>
      <c r="J32" s="127"/>
    </row>
    <row r="33" spans="1:10" ht="18.75" x14ac:dyDescent="0.25">
      <c r="A33" t="s">
        <v>84</v>
      </c>
      <c r="B33" s="129"/>
      <c r="C33" s="3" t="s">
        <v>16</v>
      </c>
      <c r="D33" s="4"/>
      <c r="E33" s="4"/>
      <c r="F33" s="4"/>
      <c r="G33" s="41"/>
      <c r="H33" s="149"/>
      <c r="I33" s="2"/>
      <c r="J33" s="127"/>
    </row>
    <row r="34" spans="1:10" ht="18.75" x14ac:dyDescent="0.25">
      <c r="A34" t="s">
        <v>84</v>
      </c>
      <c r="B34" s="129"/>
      <c r="C34" s="3" t="s">
        <v>17</v>
      </c>
      <c r="D34" s="4" t="s">
        <v>13</v>
      </c>
      <c r="E34" s="35" t="s">
        <v>1</v>
      </c>
      <c r="F34" s="35" t="s">
        <v>1</v>
      </c>
      <c r="G34" s="41"/>
      <c r="H34" s="149"/>
      <c r="I34" s="2"/>
      <c r="J34" s="127"/>
    </row>
    <row r="35" spans="1:10" ht="18.75" x14ac:dyDescent="0.25">
      <c r="A35" t="s">
        <v>84</v>
      </c>
      <c r="B35" s="129"/>
      <c r="C35" s="3" t="s">
        <v>18</v>
      </c>
      <c r="D35" s="4" t="s">
        <v>13</v>
      </c>
      <c r="E35" s="35" t="s">
        <v>1</v>
      </c>
      <c r="F35" s="35" t="s">
        <v>1</v>
      </c>
      <c r="G35" s="41"/>
      <c r="H35" s="149"/>
      <c r="I35" s="2"/>
      <c r="J35" s="127"/>
    </row>
    <row r="36" spans="1:10" ht="18.75" x14ac:dyDescent="0.25">
      <c r="A36" t="s">
        <v>84</v>
      </c>
      <c r="B36" s="129"/>
      <c r="C36" s="3" t="s">
        <v>19</v>
      </c>
      <c r="D36" s="4" t="s">
        <v>13</v>
      </c>
      <c r="E36" s="35" t="s">
        <v>2</v>
      </c>
      <c r="F36" s="35" t="s">
        <v>2</v>
      </c>
      <c r="G36" s="41"/>
      <c r="H36" s="149"/>
      <c r="I36" s="2"/>
      <c r="J36" s="127"/>
    </row>
    <row r="37" spans="1:10" ht="18.75" x14ac:dyDescent="0.25">
      <c r="A37" t="s">
        <v>84</v>
      </c>
      <c r="B37" s="129"/>
      <c r="C37" s="3" t="s">
        <v>20</v>
      </c>
      <c r="D37" s="4" t="s">
        <v>13</v>
      </c>
      <c r="E37" s="35" t="s">
        <v>2</v>
      </c>
      <c r="F37" s="35" t="s">
        <v>2</v>
      </c>
      <c r="G37" s="41"/>
      <c r="H37" s="149"/>
      <c r="I37" s="2"/>
      <c r="J37" s="127"/>
    </row>
    <row r="38" spans="1:10" ht="18.75" x14ac:dyDescent="0.25">
      <c r="A38" t="s">
        <v>84</v>
      </c>
      <c r="B38" s="38">
        <v>1.7</v>
      </c>
      <c r="C38" s="7" t="s">
        <v>21</v>
      </c>
      <c r="D38" s="4" t="s">
        <v>7</v>
      </c>
      <c r="E38" s="35">
        <v>7</v>
      </c>
      <c r="F38" s="4"/>
      <c r="G38" s="41">
        <f>IF(E38=0,0,IF(E38&lt;5,10,IF(E38&lt;10,6,IF(E38&gt;10,2))))</f>
        <v>6</v>
      </c>
      <c r="H38" s="149"/>
      <c r="I38" s="2">
        <v>10</v>
      </c>
      <c r="J38" s="127"/>
    </row>
    <row r="39" spans="1:10" ht="30" x14ac:dyDescent="0.25">
      <c r="A39" t="s">
        <v>84</v>
      </c>
      <c r="B39" s="38">
        <v>1.8</v>
      </c>
      <c r="C39" s="3" t="s">
        <v>22</v>
      </c>
      <c r="D39" s="4" t="s">
        <v>7</v>
      </c>
      <c r="E39" s="35">
        <v>20</v>
      </c>
      <c r="F39" s="4"/>
      <c r="G39" s="41">
        <f>IF(E39=0,0,IF(E39&lt;25,2,IF(E39&lt;40,4,IF(E39&lt;55,6,IF(E39&lt;70,8,IF(E39&gt;70,10))))))</f>
        <v>2</v>
      </c>
      <c r="H39" s="149"/>
      <c r="I39" s="2">
        <v>10</v>
      </c>
      <c r="J39" s="127"/>
    </row>
    <row r="40" spans="1:10" ht="45" x14ac:dyDescent="0.25">
      <c r="A40" t="s">
        <v>84</v>
      </c>
      <c r="B40" s="38">
        <v>1.9</v>
      </c>
      <c r="C40" s="4" t="s">
        <v>23</v>
      </c>
      <c r="D40" s="4" t="s">
        <v>7</v>
      </c>
      <c r="E40" s="35">
        <v>1</v>
      </c>
      <c r="F40" s="4"/>
      <c r="G40" s="41">
        <f>IF(E40=0,0,IF(E40&lt;15,2,IF(E40&lt;30,4,IF(E40&lt;45,6,IF(E40&lt;60,8,IF(E40&gt;60,10,))))))</f>
        <v>2</v>
      </c>
      <c r="H40" s="149"/>
      <c r="I40" s="2">
        <v>10</v>
      </c>
      <c r="J40" s="127"/>
    </row>
    <row r="41" spans="1:10" x14ac:dyDescent="0.25">
      <c r="A41" t="s">
        <v>84</v>
      </c>
      <c r="B41" s="36">
        <v>2</v>
      </c>
      <c r="C41" s="1" t="s">
        <v>24</v>
      </c>
      <c r="D41" s="8"/>
      <c r="E41" s="8"/>
      <c r="F41" s="8"/>
      <c r="G41" s="8"/>
      <c r="H41" s="8"/>
      <c r="I41" s="9"/>
      <c r="J41" s="8"/>
    </row>
    <row r="42" spans="1:10" ht="30" x14ac:dyDescent="0.25">
      <c r="A42" t="s">
        <v>84</v>
      </c>
      <c r="B42" s="37">
        <v>2.1</v>
      </c>
      <c r="C42" s="3" t="s">
        <v>25</v>
      </c>
      <c r="D42" s="4" t="s">
        <v>13</v>
      </c>
      <c r="E42" s="35" t="s">
        <v>1</v>
      </c>
      <c r="F42" s="4"/>
      <c r="G42" s="41">
        <f>IF(E42="No",20,0)</f>
        <v>0</v>
      </c>
      <c r="H42" s="149">
        <f>SUM(G42:G45)*(J42/100)</f>
        <v>2.5</v>
      </c>
      <c r="I42" s="2">
        <v>20</v>
      </c>
      <c r="J42" s="127">
        <v>5</v>
      </c>
    </row>
    <row r="43" spans="1:10" ht="30" x14ac:dyDescent="0.25">
      <c r="A43" t="s">
        <v>84</v>
      </c>
      <c r="B43" s="37">
        <v>2.2000000000000002</v>
      </c>
      <c r="C43" s="3" t="s">
        <v>26</v>
      </c>
      <c r="D43" s="4" t="s">
        <v>80</v>
      </c>
      <c r="E43" s="35" t="s">
        <v>1</v>
      </c>
      <c r="F43" s="35" t="s">
        <v>1</v>
      </c>
      <c r="G43" s="41">
        <f>IF(E43="Yes",15,0)+IF(F43="Yes",15,0)</f>
        <v>30</v>
      </c>
      <c r="H43" s="149"/>
      <c r="I43" s="2">
        <v>30</v>
      </c>
      <c r="J43" s="127"/>
    </row>
    <row r="44" spans="1:10" ht="18.75" x14ac:dyDescent="0.25">
      <c r="A44" t="s">
        <v>84</v>
      </c>
      <c r="B44" s="37">
        <v>2.2999999999999998</v>
      </c>
      <c r="C44" s="3" t="s">
        <v>27</v>
      </c>
      <c r="D44" s="4" t="s">
        <v>13</v>
      </c>
      <c r="E44" s="35" t="s">
        <v>2</v>
      </c>
      <c r="F44" s="4"/>
      <c r="G44" s="41">
        <f>IF(E44="Yes",0,20)</f>
        <v>20</v>
      </c>
      <c r="H44" s="149"/>
      <c r="I44" s="2">
        <v>20</v>
      </c>
      <c r="J44" s="127"/>
    </row>
    <row r="45" spans="1:10" ht="30" x14ac:dyDescent="0.25">
      <c r="A45" t="s">
        <v>84</v>
      </c>
      <c r="B45" s="37">
        <v>2.4</v>
      </c>
      <c r="C45" s="3" t="s">
        <v>28</v>
      </c>
      <c r="D45" s="4" t="s">
        <v>13</v>
      </c>
      <c r="E45" s="35" t="s">
        <v>1</v>
      </c>
      <c r="F45" s="4"/>
      <c r="G45" s="41">
        <f>IF(E45="Yes",0,30)</f>
        <v>0</v>
      </c>
      <c r="H45" s="149"/>
      <c r="I45" s="2">
        <v>30</v>
      </c>
      <c r="J45" s="127"/>
    </row>
    <row r="47" spans="1:10" x14ac:dyDescent="0.25">
      <c r="A47" t="s">
        <v>83</v>
      </c>
      <c r="B47" s="11">
        <v>1</v>
      </c>
      <c r="C47" s="12" t="s">
        <v>29</v>
      </c>
      <c r="D47" s="13"/>
      <c r="E47" s="13"/>
      <c r="F47" s="14"/>
      <c r="G47" s="14"/>
      <c r="H47" s="14"/>
      <c r="I47" s="15"/>
      <c r="J47" s="13"/>
    </row>
    <row r="48" spans="1:10" ht="43.5" x14ac:dyDescent="0.25">
      <c r="A48" t="s">
        <v>83</v>
      </c>
      <c r="B48" s="10">
        <v>1.1000000000000001</v>
      </c>
      <c r="C48" s="16" t="s">
        <v>47</v>
      </c>
      <c r="D48" s="17" t="s">
        <v>30</v>
      </c>
      <c r="E48" s="35" t="s">
        <v>2</v>
      </c>
      <c r="F48" s="17"/>
      <c r="G48" s="153">
        <f>IF(E48="Yes",15,0)+IF(E49="Yes",30,0)</f>
        <v>30</v>
      </c>
      <c r="H48" s="155">
        <f>SUM(G48:G53)*(J48/100)</f>
        <v>12.200000000000001</v>
      </c>
      <c r="I48" s="18">
        <v>15</v>
      </c>
      <c r="J48" s="124">
        <v>20</v>
      </c>
    </row>
    <row r="49" spans="1:10" x14ac:dyDescent="0.25">
      <c r="A49" t="s">
        <v>83</v>
      </c>
      <c r="B49" s="10" t="s">
        <v>81</v>
      </c>
      <c r="C49" s="16" t="s">
        <v>31</v>
      </c>
      <c r="D49" s="17" t="s">
        <v>32</v>
      </c>
      <c r="E49" s="35" t="s">
        <v>1</v>
      </c>
      <c r="F49" s="17" t="s">
        <v>33</v>
      </c>
      <c r="G49" s="154"/>
      <c r="H49" s="156"/>
      <c r="I49" s="18">
        <v>30</v>
      </c>
      <c r="J49" s="125"/>
    </row>
    <row r="50" spans="1:10" ht="18.75" x14ac:dyDescent="0.25">
      <c r="A50" t="s">
        <v>83</v>
      </c>
      <c r="B50" s="10">
        <v>1.2</v>
      </c>
      <c r="C50" s="16" t="s">
        <v>34</v>
      </c>
      <c r="D50" s="17" t="s">
        <v>32</v>
      </c>
      <c r="E50" s="35">
        <v>4</v>
      </c>
      <c r="F50" s="4" t="s">
        <v>79</v>
      </c>
      <c r="G50" s="41">
        <f>IF(E50=0,0,IF(E50&lt;3,8,IF(E50&lt;5,16,IF(E50&gt;5,20))))</f>
        <v>16</v>
      </c>
      <c r="H50" s="156"/>
      <c r="I50" s="18">
        <v>20</v>
      </c>
      <c r="J50" s="125"/>
    </row>
    <row r="51" spans="1:10" ht="18.75" x14ac:dyDescent="0.25">
      <c r="A51" t="s">
        <v>83</v>
      </c>
      <c r="B51" s="10">
        <v>1.3</v>
      </c>
      <c r="C51" s="16" t="s">
        <v>35</v>
      </c>
      <c r="D51" s="18" t="s">
        <v>30</v>
      </c>
      <c r="E51" s="35" t="s">
        <v>1</v>
      </c>
      <c r="F51" s="17"/>
      <c r="G51" s="41">
        <f>IF(E51="Yes",10,0)</f>
        <v>10</v>
      </c>
      <c r="H51" s="156"/>
      <c r="I51" s="18">
        <v>10</v>
      </c>
      <c r="J51" s="125"/>
    </row>
    <row r="52" spans="1:10" ht="18.75" x14ac:dyDescent="0.25">
      <c r="A52" t="s">
        <v>83</v>
      </c>
      <c r="B52" s="10">
        <v>1.4</v>
      </c>
      <c r="C52" s="16" t="s">
        <v>36</v>
      </c>
      <c r="D52" s="18" t="s">
        <v>30</v>
      </c>
      <c r="E52" s="35" t="s">
        <v>2</v>
      </c>
      <c r="F52" s="17"/>
      <c r="G52" s="41">
        <f>IF(E52="Yes",10,0)</f>
        <v>0</v>
      </c>
      <c r="H52" s="156"/>
      <c r="I52" s="18">
        <v>10</v>
      </c>
      <c r="J52" s="125"/>
    </row>
    <row r="53" spans="1:10" ht="18.75" x14ac:dyDescent="0.25">
      <c r="A53" t="s">
        <v>83</v>
      </c>
      <c r="B53" s="10">
        <v>1.5</v>
      </c>
      <c r="C53" s="16" t="s">
        <v>37</v>
      </c>
      <c r="D53" s="18" t="s">
        <v>38</v>
      </c>
      <c r="E53" s="35">
        <v>9</v>
      </c>
      <c r="F53" s="4" t="s">
        <v>79</v>
      </c>
      <c r="G53" s="41">
        <f>IF(E53=0,0,IF(E53&lt;3,15,IF(E53&lt;5,10,IF(E53&lt;10,5,IF(E53&gt;10,0)))))</f>
        <v>5</v>
      </c>
      <c r="H53" s="157"/>
      <c r="I53" s="18">
        <v>15</v>
      </c>
      <c r="J53" s="135"/>
    </row>
    <row r="54" spans="1:10" x14ac:dyDescent="0.25">
      <c r="A54" t="s">
        <v>83</v>
      </c>
      <c r="B54" s="11">
        <v>2</v>
      </c>
      <c r="C54" s="12" t="s">
        <v>39</v>
      </c>
      <c r="D54" s="13"/>
      <c r="E54" s="13"/>
      <c r="F54" s="14"/>
      <c r="G54" s="14"/>
      <c r="H54" s="14"/>
      <c r="I54" s="15"/>
      <c r="J54" s="13"/>
    </row>
    <row r="55" spans="1:10" ht="30" x14ac:dyDescent="0.25">
      <c r="A55" t="s">
        <v>83</v>
      </c>
      <c r="B55" s="42">
        <v>2.1</v>
      </c>
      <c r="C55" s="19" t="s">
        <v>40</v>
      </c>
      <c r="D55" s="40" t="s">
        <v>82</v>
      </c>
      <c r="E55" s="35" t="s">
        <v>1</v>
      </c>
      <c r="F55" s="35" t="s">
        <v>2</v>
      </c>
      <c r="G55" s="41">
        <f>IF(E55="Yes",15,IF(E55="No",0,IF(E55="WIP",5,)))+IF(F55="Yes",5,0)</f>
        <v>15</v>
      </c>
      <c r="H55" s="150">
        <f>SUM(G55:G61)*(J55/100)</f>
        <v>4</v>
      </c>
      <c r="I55" s="18">
        <v>20</v>
      </c>
      <c r="J55" s="124">
        <v>20</v>
      </c>
    </row>
    <row r="56" spans="1:10" ht="18.75" x14ac:dyDescent="0.25">
      <c r="A56" t="s">
        <v>83</v>
      </c>
      <c r="B56" s="10">
        <v>2.2000000000000002</v>
      </c>
      <c r="C56" s="19" t="s">
        <v>41</v>
      </c>
      <c r="D56" s="17" t="s">
        <v>30</v>
      </c>
      <c r="E56" s="35" t="s">
        <v>2</v>
      </c>
      <c r="F56" s="17"/>
      <c r="G56" s="41">
        <f>IF(E56="Yes",10,0)</f>
        <v>0</v>
      </c>
      <c r="H56" s="151"/>
      <c r="I56" s="18">
        <v>10</v>
      </c>
      <c r="J56" s="125"/>
    </row>
    <row r="57" spans="1:10" ht="18.75" x14ac:dyDescent="0.25">
      <c r="A57" t="s">
        <v>83</v>
      </c>
      <c r="B57" s="10">
        <v>2.2999999999999998</v>
      </c>
      <c r="C57" s="19" t="s">
        <v>42</v>
      </c>
      <c r="D57" s="17" t="s">
        <v>30</v>
      </c>
      <c r="E57" s="35" t="s">
        <v>2</v>
      </c>
      <c r="F57" s="17"/>
      <c r="G57" s="41">
        <f>IF(E57="Yes",10,0)</f>
        <v>0</v>
      </c>
      <c r="H57" s="151"/>
      <c r="I57" s="18">
        <v>10</v>
      </c>
      <c r="J57" s="125"/>
    </row>
    <row r="58" spans="1:10" ht="18.75" x14ac:dyDescent="0.25">
      <c r="A58" t="s">
        <v>83</v>
      </c>
      <c r="B58" s="10">
        <v>2.4</v>
      </c>
      <c r="C58" s="19" t="s">
        <v>43</v>
      </c>
      <c r="D58" s="17" t="s">
        <v>38</v>
      </c>
      <c r="E58" s="35">
        <v>2</v>
      </c>
      <c r="F58" s="4" t="s">
        <v>79</v>
      </c>
      <c r="G58" s="41">
        <f>IF(E58=0,0,IF(E58&lt;8,5,IF(E58&lt;16,10,IF(E58&gt;16,15))))</f>
        <v>5</v>
      </c>
      <c r="H58" s="151"/>
      <c r="I58" s="18">
        <v>15</v>
      </c>
      <c r="J58" s="125"/>
    </row>
    <row r="59" spans="1:10" ht="18.75" x14ac:dyDescent="0.25">
      <c r="A59" t="s">
        <v>83</v>
      </c>
      <c r="B59" s="10">
        <v>2.5</v>
      </c>
      <c r="C59" s="20" t="s">
        <v>44</v>
      </c>
      <c r="D59" s="17" t="s">
        <v>30</v>
      </c>
      <c r="E59" s="35" t="s">
        <v>2</v>
      </c>
      <c r="F59" s="17"/>
      <c r="G59" s="41">
        <f>IF(E59="Yes",15,0)</f>
        <v>0</v>
      </c>
      <c r="H59" s="151"/>
      <c r="I59" s="18">
        <v>15</v>
      </c>
      <c r="J59" s="125"/>
    </row>
    <row r="60" spans="1:10" ht="18.75" x14ac:dyDescent="0.25">
      <c r="A60" t="s">
        <v>83</v>
      </c>
      <c r="B60" s="10">
        <v>2.6</v>
      </c>
      <c r="C60" s="21" t="s">
        <v>45</v>
      </c>
      <c r="D60" s="17" t="s">
        <v>7</v>
      </c>
      <c r="E60" s="35">
        <v>0</v>
      </c>
      <c r="F60" s="4" t="s">
        <v>79</v>
      </c>
      <c r="G60" s="41">
        <f>IF(E60=0,0,IF(E60&lt;5,15,IF(E60&lt;10,10,IF(E60&lt;15,5,IF(E60&gt;15,0)))))</f>
        <v>0</v>
      </c>
      <c r="H60" s="151"/>
      <c r="I60" s="18">
        <v>15</v>
      </c>
      <c r="J60" s="125"/>
    </row>
    <row r="61" spans="1:10" ht="18.75" x14ac:dyDescent="0.25">
      <c r="A61" t="s">
        <v>83</v>
      </c>
      <c r="B61" s="10">
        <v>2.7</v>
      </c>
      <c r="C61" s="20" t="s">
        <v>46</v>
      </c>
      <c r="D61" s="17" t="s">
        <v>30</v>
      </c>
      <c r="E61" s="35" t="s">
        <v>2</v>
      </c>
      <c r="F61" s="17"/>
      <c r="G61" s="41">
        <f>IF(E61="Yes",15,0)</f>
        <v>0</v>
      </c>
      <c r="H61" s="152"/>
      <c r="I61" s="18">
        <v>15</v>
      </c>
      <c r="J61" s="125"/>
    </row>
  </sheetData>
  <mergeCells count="17">
    <mergeCell ref="I7:J7"/>
    <mergeCell ref="G8:G9"/>
    <mergeCell ref="H8:H17"/>
    <mergeCell ref="J8:J16"/>
    <mergeCell ref="B18:C18"/>
    <mergeCell ref="B32:B37"/>
    <mergeCell ref="H42:H45"/>
    <mergeCell ref="J42:J45"/>
    <mergeCell ref="G48:G49"/>
    <mergeCell ref="H48:H53"/>
    <mergeCell ref="J48:J53"/>
    <mergeCell ref="H19:H24"/>
    <mergeCell ref="J19:J24"/>
    <mergeCell ref="H55:H61"/>
    <mergeCell ref="J55:J61"/>
    <mergeCell ref="H27:H40"/>
    <mergeCell ref="J27:J40"/>
  </mergeCells>
  <dataValidations count="3">
    <dataValidation type="list" allowBlank="1" showInputMessage="1" showErrorMessage="1" sqref="E8:E9 E12:E16 F13 E19:F19 E22:E24 E32 E34:F37 F43 E42:E45 E48:E49 E51:E52 F55 E56:E57 E59 E61">
      <formula1>"Yes, No"</formula1>
    </dataValidation>
    <dataValidation type="list" allowBlank="1" showInputMessage="1" showErrorMessage="1" sqref="F14 F16 F20">
      <formula1>"Monthly, Quarterly, Half Yearly, Annual"</formula1>
    </dataValidation>
    <dataValidation type="list" allowBlank="1" showInputMessage="1" showErrorMessage="1" sqref="E55">
      <formula1>"Yes, No, WIP"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topLeftCell="A40" workbookViewId="0">
      <selection activeCell="G46" sqref="G46"/>
    </sheetView>
  </sheetViews>
  <sheetFormatPr defaultRowHeight="15" x14ac:dyDescent="0.25"/>
  <cols>
    <col min="1" max="1" width="12.42578125" bestFit="1" customWidth="1"/>
    <col min="3" max="3" width="57.42578125" customWidth="1"/>
    <col min="4" max="4" width="26.5703125" customWidth="1"/>
    <col min="5" max="5" width="10.42578125" bestFit="1" customWidth="1"/>
    <col min="6" max="6" width="48.5703125" customWidth="1"/>
  </cols>
  <sheetData>
    <row r="2" spans="1:10" x14ac:dyDescent="0.25">
      <c r="A2" s="23" t="s">
        <v>85</v>
      </c>
      <c r="B2">
        <v>40</v>
      </c>
      <c r="C2">
        <f>(H8+H19)*(B2/100)</f>
        <v>6.32</v>
      </c>
    </row>
    <row r="3" spans="1:10" x14ac:dyDescent="0.25">
      <c r="A3" s="44" t="s">
        <v>84</v>
      </c>
      <c r="B3">
        <v>30</v>
      </c>
      <c r="C3">
        <f>(H27+H42)*(B3/100)</f>
        <v>2.97</v>
      </c>
    </row>
    <row r="4" spans="1:10" x14ac:dyDescent="0.25">
      <c r="A4" s="11" t="s">
        <v>83</v>
      </c>
      <c r="B4">
        <v>30</v>
      </c>
      <c r="C4">
        <f>(H48+H55)*(B4/100)</f>
        <v>2.4</v>
      </c>
    </row>
    <row r="5" spans="1:10" x14ac:dyDescent="0.25">
      <c r="A5" s="43" t="s">
        <v>86</v>
      </c>
      <c r="B5">
        <f>SUM(B2:B4)</f>
        <v>100</v>
      </c>
      <c r="C5">
        <f>SUM(C2:C4)</f>
        <v>11.690000000000001</v>
      </c>
    </row>
    <row r="7" spans="1:10" x14ac:dyDescent="0.25">
      <c r="A7" t="s">
        <v>85</v>
      </c>
      <c r="B7" s="23">
        <v>1</v>
      </c>
      <c r="C7" s="22" t="s">
        <v>48</v>
      </c>
      <c r="D7" s="22" t="s">
        <v>3</v>
      </c>
      <c r="E7" s="22" t="s">
        <v>0</v>
      </c>
      <c r="F7" s="22" t="s">
        <v>4</v>
      </c>
      <c r="G7" s="22"/>
      <c r="H7" s="22"/>
      <c r="I7" s="141" t="s">
        <v>49</v>
      </c>
      <c r="J7" s="141"/>
    </row>
    <row r="8" spans="1:10" ht="45" x14ac:dyDescent="0.25">
      <c r="A8" t="s">
        <v>85</v>
      </c>
      <c r="B8" s="27">
        <v>1.1000000000000001</v>
      </c>
      <c r="C8" s="24" t="s">
        <v>50</v>
      </c>
      <c r="D8" s="25" t="s">
        <v>30</v>
      </c>
      <c r="E8" s="35" t="s">
        <v>1</v>
      </c>
      <c r="F8" s="25"/>
      <c r="G8" s="158">
        <f>IF(E8="Yes",5,0)+IF(E9="Yes",5,0)</f>
        <v>10</v>
      </c>
      <c r="H8" s="149">
        <f>SUM(G8:G17)*(J8/100)</f>
        <v>8</v>
      </c>
      <c r="I8" s="27">
        <v>10</v>
      </c>
      <c r="J8" s="142">
        <v>20</v>
      </c>
    </row>
    <row r="9" spans="1:10" ht="30" x14ac:dyDescent="0.25">
      <c r="A9" t="s">
        <v>85</v>
      </c>
      <c r="B9" s="27"/>
      <c r="C9" s="24" t="s">
        <v>72</v>
      </c>
      <c r="D9" s="25" t="s">
        <v>51</v>
      </c>
      <c r="E9" s="35" t="s">
        <v>1</v>
      </c>
      <c r="F9" s="25" t="s">
        <v>52</v>
      </c>
      <c r="G9" s="158"/>
      <c r="H9" s="149"/>
      <c r="I9" s="27"/>
      <c r="J9" s="142"/>
    </row>
    <row r="10" spans="1:10" ht="30" x14ac:dyDescent="0.25">
      <c r="A10" t="s">
        <v>85</v>
      </c>
      <c r="B10" s="28">
        <v>1.2</v>
      </c>
      <c r="C10" s="24" t="s">
        <v>53</v>
      </c>
      <c r="D10" s="24" t="s">
        <v>73</v>
      </c>
      <c r="E10" s="35"/>
      <c r="F10" s="24" t="s">
        <v>74</v>
      </c>
      <c r="G10" s="41">
        <f>IF(E10=0,0,IF(E10&lt;3,8,IF(E10&lt;5,15,IF(E10&gt;5,20))))</f>
        <v>0</v>
      </c>
      <c r="H10" s="149"/>
      <c r="I10" s="27">
        <v>20</v>
      </c>
      <c r="J10" s="142"/>
    </row>
    <row r="11" spans="1:10" ht="105" x14ac:dyDescent="0.25">
      <c r="A11" t="s">
        <v>85</v>
      </c>
      <c r="B11" s="27">
        <v>1.3</v>
      </c>
      <c r="C11" s="29" t="s">
        <v>54</v>
      </c>
      <c r="D11" s="30" t="s">
        <v>55</v>
      </c>
      <c r="E11" s="35">
        <v>3</v>
      </c>
      <c r="F11" s="31" t="s">
        <v>56</v>
      </c>
      <c r="G11" s="41">
        <f>IF(E11=0,0,IF(E11&lt;3,8,IF(E11&lt;5,15,IF(E11&gt;5,20))))</f>
        <v>15</v>
      </c>
      <c r="H11" s="149"/>
      <c r="I11" s="32">
        <v>20</v>
      </c>
      <c r="J11" s="142"/>
    </row>
    <row r="12" spans="1:10" ht="30" x14ac:dyDescent="0.25">
      <c r="A12" t="s">
        <v>85</v>
      </c>
      <c r="B12" s="27" t="s">
        <v>57</v>
      </c>
      <c r="C12" s="29" t="s">
        <v>58</v>
      </c>
      <c r="D12" s="30" t="s">
        <v>30</v>
      </c>
      <c r="E12" s="35" t="s">
        <v>1</v>
      </c>
      <c r="F12" s="31"/>
      <c r="G12" s="41">
        <f>IF(E12="Yes",0,10)</f>
        <v>0</v>
      </c>
      <c r="H12" s="149"/>
      <c r="I12" s="32">
        <v>10</v>
      </c>
      <c r="J12" s="142"/>
    </row>
    <row r="13" spans="1:10" ht="45" x14ac:dyDescent="0.25">
      <c r="A13" t="s">
        <v>85</v>
      </c>
      <c r="B13" s="27" t="s">
        <v>59</v>
      </c>
      <c r="C13" s="24" t="s">
        <v>60</v>
      </c>
      <c r="D13" s="25" t="s">
        <v>75</v>
      </c>
      <c r="E13" s="35" t="s">
        <v>2</v>
      </c>
      <c r="F13" s="35" t="s">
        <v>2</v>
      </c>
      <c r="G13" s="41">
        <f>IF(E13="Yes",5,0)+IF(F13="Yes",5,0)</f>
        <v>0</v>
      </c>
      <c r="H13" s="149"/>
      <c r="I13" s="27">
        <v>10</v>
      </c>
      <c r="J13" s="142"/>
    </row>
    <row r="14" spans="1:10" ht="30" x14ac:dyDescent="0.25">
      <c r="A14" t="s">
        <v>85</v>
      </c>
      <c r="B14" s="27">
        <v>1.6</v>
      </c>
      <c r="C14" s="24" t="s">
        <v>76</v>
      </c>
      <c r="D14" s="24" t="s">
        <v>61</v>
      </c>
      <c r="E14" s="35" t="s">
        <v>1</v>
      </c>
      <c r="F14" s="35"/>
      <c r="G14" s="41">
        <f>IF(E14="Yes",5,0)+(IF(F14="Monthly",5,IF(F14="Quarterly",4,IF(F14="Half Yearly",3,IF(F14="Annual",2,0)))))</f>
        <v>5</v>
      </c>
      <c r="H14" s="149"/>
      <c r="I14" s="27">
        <v>10</v>
      </c>
      <c r="J14" s="142"/>
    </row>
    <row r="15" spans="1:10" ht="30" x14ac:dyDescent="0.25">
      <c r="A15" t="s">
        <v>85</v>
      </c>
      <c r="B15" s="27">
        <v>1.7</v>
      </c>
      <c r="C15" s="24" t="s">
        <v>62</v>
      </c>
      <c r="D15" s="25" t="s">
        <v>30</v>
      </c>
      <c r="E15" s="35" t="s">
        <v>1</v>
      </c>
      <c r="F15" s="25" t="s">
        <v>63</v>
      </c>
      <c r="G15" s="41">
        <f>IF(E15="Yes",10,0)</f>
        <v>10</v>
      </c>
      <c r="H15" s="149"/>
      <c r="I15" s="27">
        <v>10</v>
      </c>
      <c r="J15" s="142"/>
    </row>
    <row r="16" spans="1:10" ht="30" x14ac:dyDescent="0.25">
      <c r="A16" t="s">
        <v>85</v>
      </c>
      <c r="B16" s="27">
        <v>1.8</v>
      </c>
      <c r="C16" s="24" t="s">
        <v>77</v>
      </c>
      <c r="D16" s="24" t="s">
        <v>61</v>
      </c>
      <c r="E16" s="35" t="s">
        <v>2</v>
      </c>
      <c r="F16" s="35"/>
      <c r="G16" s="41">
        <f>IF(E16="Yes",5,0)+(IF(F16="Monthly",5,IF(F16="Quarterly",4,IF(F16="Half Yearly",3,IF(F16="Annual",2,0)))))</f>
        <v>0</v>
      </c>
      <c r="H16" s="149"/>
      <c r="I16" s="27">
        <v>10</v>
      </c>
      <c r="J16" s="142"/>
    </row>
    <row r="17" spans="1:10" ht="18.75" x14ac:dyDescent="0.25">
      <c r="A17" t="s">
        <v>85</v>
      </c>
      <c r="B17" s="27"/>
      <c r="C17" s="24"/>
      <c r="D17" s="25"/>
      <c r="E17" s="25"/>
      <c r="F17" s="25"/>
      <c r="G17" s="41"/>
      <c r="H17" s="149"/>
      <c r="I17" s="26"/>
      <c r="J17" s="26"/>
    </row>
    <row r="18" spans="1:10" ht="18.75" x14ac:dyDescent="0.25">
      <c r="A18" t="s">
        <v>85</v>
      </c>
      <c r="B18" s="143" t="s">
        <v>64</v>
      </c>
      <c r="C18" s="143"/>
      <c r="D18" s="22"/>
      <c r="E18" s="22"/>
      <c r="F18" s="22"/>
      <c r="G18" s="41"/>
      <c r="H18" s="39"/>
      <c r="I18" s="22"/>
      <c r="J18" s="22"/>
    </row>
    <row r="19" spans="1:10" ht="60" x14ac:dyDescent="0.25">
      <c r="A19" t="s">
        <v>85</v>
      </c>
      <c r="B19" s="33">
        <v>2.1</v>
      </c>
      <c r="C19" s="24" t="s">
        <v>65</v>
      </c>
      <c r="D19" s="25" t="s">
        <v>75</v>
      </c>
      <c r="E19" s="35" t="s">
        <v>1</v>
      </c>
      <c r="F19" s="35" t="s">
        <v>2</v>
      </c>
      <c r="G19" s="41">
        <f>IF(E19="Yes",15,0)+IF(F19="Yes",15,0)</f>
        <v>15</v>
      </c>
      <c r="H19" s="149">
        <f>SUM(G19:G24)*(J19/100)</f>
        <v>7.8</v>
      </c>
      <c r="I19" s="34">
        <v>30</v>
      </c>
      <c r="J19" s="128">
        <v>15</v>
      </c>
    </row>
    <row r="20" spans="1:10" ht="45" x14ac:dyDescent="0.25">
      <c r="A20" t="s">
        <v>85</v>
      </c>
      <c r="B20" s="27">
        <v>2.2000000000000002</v>
      </c>
      <c r="C20" s="24" t="s">
        <v>66</v>
      </c>
      <c r="D20" s="24" t="s">
        <v>61</v>
      </c>
      <c r="E20" s="24"/>
      <c r="F20" s="35" t="s">
        <v>89</v>
      </c>
      <c r="G20" s="41">
        <f>(IF(F20="Monthly",15,IF(F20="Quarterly",12,IF(F20="Half Yearly",9,IF(F20="Annual",6,0)))))</f>
        <v>12</v>
      </c>
      <c r="H20" s="149"/>
      <c r="I20" s="26">
        <v>15</v>
      </c>
      <c r="J20" s="128"/>
    </row>
    <row r="21" spans="1:10" ht="30" x14ac:dyDescent="0.25">
      <c r="A21" t="s">
        <v>85</v>
      </c>
      <c r="B21" s="27">
        <v>2.2999999999999998</v>
      </c>
      <c r="C21" s="24" t="s">
        <v>67</v>
      </c>
      <c r="D21" s="24" t="s">
        <v>32</v>
      </c>
      <c r="E21" s="35"/>
      <c r="F21" s="24" t="s">
        <v>74</v>
      </c>
      <c r="G21" s="41">
        <f>IF(E21=0,0,IF(E21&lt;3,8,IF(E21&lt;5,15,IF(E21&gt;5,20))))</f>
        <v>0</v>
      </c>
      <c r="H21" s="149"/>
      <c r="I21" s="26">
        <v>20</v>
      </c>
      <c r="J21" s="128"/>
    </row>
    <row r="22" spans="1:10" ht="18.75" x14ac:dyDescent="0.25">
      <c r="A22" t="s">
        <v>85</v>
      </c>
      <c r="B22" s="27">
        <v>2.4</v>
      </c>
      <c r="C22" s="24" t="s">
        <v>68</v>
      </c>
      <c r="D22" s="24" t="s">
        <v>69</v>
      </c>
      <c r="E22" s="35" t="s">
        <v>1</v>
      </c>
      <c r="F22" s="24" t="s">
        <v>78</v>
      </c>
      <c r="G22" s="41">
        <f>IF(E22="Yes",10,0)</f>
        <v>10</v>
      </c>
      <c r="H22" s="149"/>
      <c r="I22" s="26">
        <v>10</v>
      </c>
      <c r="J22" s="128"/>
    </row>
    <row r="23" spans="1:10" ht="30" x14ac:dyDescent="0.25">
      <c r="A23" t="s">
        <v>85</v>
      </c>
      <c r="B23" s="27">
        <v>2.5</v>
      </c>
      <c r="C23" s="24" t="s">
        <v>70</v>
      </c>
      <c r="D23" s="24" t="s">
        <v>69</v>
      </c>
      <c r="E23" s="35" t="s">
        <v>2</v>
      </c>
      <c r="F23" s="24" t="s">
        <v>78</v>
      </c>
      <c r="G23" s="41">
        <f>IF(E23="Yes",10,0)</f>
        <v>0</v>
      </c>
      <c r="H23" s="149"/>
      <c r="I23" s="26">
        <v>10</v>
      </c>
      <c r="J23" s="128"/>
    </row>
    <row r="24" spans="1:10" ht="30" x14ac:dyDescent="0.25">
      <c r="A24" t="s">
        <v>85</v>
      </c>
      <c r="B24" s="27">
        <v>2.6</v>
      </c>
      <c r="C24" s="24" t="s">
        <v>71</v>
      </c>
      <c r="D24" s="24" t="s">
        <v>30</v>
      </c>
      <c r="E24" s="35" t="s">
        <v>1</v>
      </c>
      <c r="F24" s="24"/>
      <c r="G24" s="41">
        <f>IF(E24="Yes",15,0)</f>
        <v>15</v>
      </c>
      <c r="H24" s="149"/>
      <c r="I24" s="26">
        <v>15</v>
      </c>
      <c r="J24" s="128"/>
    </row>
    <row r="26" spans="1:10" x14ac:dyDescent="0.25">
      <c r="A26" t="s">
        <v>84</v>
      </c>
      <c r="B26" s="36">
        <v>1</v>
      </c>
      <c r="C26" s="1" t="s">
        <v>5</v>
      </c>
      <c r="D26" s="8"/>
      <c r="E26" s="8"/>
      <c r="F26" s="8"/>
      <c r="G26" s="8"/>
      <c r="H26" s="8"/>
      <c r="I26" s="9"/>
      <c r="J26" s="8"/>
    </row>
    <row r="27" spans="1:10" ht="30" x14ac:dyDescent="0.25">
      <c r="A27" t="s">
        <v>84</v>
      </c>
      <c r="B27" s="37">
        <v>1.1000000000000001</v>
      </c>
      <c r="C27" s="3" t="s">
        <v>6</v>
      </c>
      <c r="D27" s="4" t="s">
        <v>7</v>
      </c>
      <c r="E27" s="35">
        <v>5</v>
      </c>
      <c r="F27" s="4" t="s">
        <v>79</v>
      </c>
      <c r="G27" s="41">
        <f>IF(E27=0,0,IF(E27&lt;5,6,IF(E27&lt;10,8,IF(E27&gt;10,10))))</f>
        <v>8</v>
      </c>
      <c r="H27" s="149">
        <f>SUM(G27:G40)*(J27/100)</f>
        <v>5.9</v>
      </c>
      <c r="I27" s="2">
        <v>10</v>
      </c>
      <c r="J27" s="127">
        <v>10</v>
      </c>
    </row>
    <row r="28" spans="1:10" ht="30" x14ac:dyDescent="0.25">
      <c r="A28" t="s">
        <v>84</v>
      </c>
      <c r="B28" s="37">
        <v>1.2</v>
      </c>
      <c r="C28" s="3" t="s">
        <v>8</v>
      </c>
      <c r="D28" s="4" t="s">
        <v>7</v>
      </c>
      <c r="E28" s="35">
        <v>7</v>
      </c>
      <c r="F28" s="4" t="s">
        <v>79</v>
      </c>
      <c r="G28" s="41">
        <f>IF(E28=0,0,IF(E28&lt;5,6,IF(E28&lt;10,8,IF(E28&gt;10,10))))</f>
        <v>8</v>
      </c>
      <c r="H28" s="149"/>
      <c r="I28" s="2">
        <v>10</v>
      </c>
      <c r="J28" s="127"/>
    </row>
    <row r="29" spans="1:10" ht="30" x14ac:dyDescent="0.25">
      <c r="A29" t="s">
        <v>84</v>
      </c>
      <c r="B29" s="37">
        <v>1.3</v>
      </c>
      <c r="C29" s="3" t="s">
        <v>9</v>
      </c>
      <c r="D29" s="4" t="s">
        <v>7</v>
      </c>
      <c r="E29" s="35">
        <v>2</v>
      </c>
      <c r="F29" s="4" t="s">
        <v>79</v>
      </c>
      <c r="G29" s="41">
        <f>IF(E29=0,0,IF(E29&lt;5,6,IF(E29&lt;10,8,IF(E29&gt;10,10))))</f>
        <v>6</v>
      </c>
      <c r="H29" s="149"/>
      <c r="I29" s="2">
        <v>10</v>
      </c>
      <c r="J29" s="127"/>
    </row>
    <row r="30" spans="1:10" ht="30" x14ac:dyDescent="0.25">
      <c r="A30" t="s">
        <v>84</v>
      </c>
      <c r="B30" s="37">
        <v>1.4</v>
      </c>
      <c r="C30" s="3" t="s">
        <v>10</v>
      </c>
      <c r="D30" s="4" t="s">
        <v>7</v>
      </c>
      <c r="E30" s="35">
        <v>5</v>
      </c>
      <c r="F30" s="4" t="s">
        <v>79</v>
      </c>
      <c r="G30" s="41">
        <f>IF(E30=0,0,IF(E30&lt;5,6,IF(E30&lt;10,8,IF(E30&gt;10,10))))</f>
        <v>8</v>
      </c>
      <c r="H30" s="149"/>
      <c r="I30" s="2">
        <v>10</v>
      </c>
      <c r="J30" s="127"/>
    </row>
    <row r="31" spans="1:10" ht="45" x14ac:dyDescent="0.25">
      <c r="A31" t="s">
        <v>84</v>
      </c>
      <c r="B31" s="37">
        <v>1.5</v>
      </c>
      <c r="C31" s="3" t="s">
        <v>11</v>
      </c>
      <c r="D31" s="4" t="s">
        <v>7</v>
      </c>
      <c r="E31" s="35">
        <v>6</v>
      </c>
      <c r="F31" s="4"/>
      <c r="G31" s="41">
        <f>IF(E31=0,0,IF(E31&lt;5,10,IF(E31&lt;10,6,IF(E31&gt;10,2))))</f>
        <v>6</v>
      </c>
      <c r="H31" s="149"/>
      <c r="I31" s="2">
        <v>10</v>
      </c>
      <c r="J31" s="127"/>
    </row>
    <row r="32" spans="1:10" ht="45" x14ac:dyDescent="0.25">
      <c r="A32" t="s">
        <v>84</v>
      </c>
      <c r="B32" s="129">
        <v>1.6</v>
      </c>
      <c r="C32" s="5" t="s">
        <v>12</v>
      </c>
      <c r="D32" s="6" t="s">
        <v>13</v>
      </c>
      <c r="E32" s="35" t="s">
        <v>2</v>
      </c>
      <c r="F32" s="4" t="s">
        <v>14</v>
      </c>
      <c r="G32" s="41">
        <f>IF(E32="Yes",0,0)+IF(E34="Yes",2,0)+IF(E35="Yes",2,0)+IF(E36="Yes",2,0)+IF(E37="Yes",2,0)+IF(F34="Yes",3,0)+IF(F35="Yes",3,0)+IF(F36="Yes",3,0)+IF(F37="Yes",3,0)</f>
        <v>5</v>
      </c>
      <c r="H32" s="149"/>
      <c r="I32" s="2" t="s">
        <v>15</v>
      </c>
      <c r="J32" s="127"/>
    </row>
    <row r="33" spans="1:10" ht="18.75" x14ac:dyDescent="0.25">
      <c r="A33" t="s">
        <v>84</v>
      </c>
      <c r="B33" s="129"/>
      <c r="C33" s="3" t="s">
        <v>16</v>
      </c>
      <c r="D33" s="4"/>
      <c r="E33" s="4"/>
      <c r="F33" s="4"/>
      <c r="G33" s="41"/>
      <c r="H33" s="149"/>
      <c r="I33" s="2"/>
      <c r="J33" s="127"/>
    </row>
    <row r="34" spans="1:10" ht="18.75" x14ac:dyDescent="0.25">
      <c r="A34" t="s">
        <v>84</v>
      </c>
      <c r="B34" s="129"/>
      <c r="C34" s="3" t="s">
        <v>17</v>
      </c>
      <c r="D34" s="4" t="s">
        <v>13</v>
      </c>
      <c r="E34" s="35" t="s">
        <v>1</v>
      </c>
      <c r="F34" s="35" t="s">
        <v>1</v>
      </c>
      <c r="G34" s="41"/>
      <c r="H34" s="149"/>
      <c r="I34" s="2"/>
      <c r="J34" s="127"/>
    </row>
    <row r="35" spans="1:10" ht="18.75" x14ac:dyDescent="0.25">
      <c r="A35" t="s">
        <v>84</v>
      </c>
      <c r="B35" s="129"/>
      <c r="C35" s="3" t="s">
        <v>18</v>
      </c>
      <c r="D35" s="4" t="s">
        <v>13</v>
      </c>
      <c r="E35" s="35" t="s">
        <v>2</v>
      </c>
      <c r="F35" s="35" t="s">
        <v>2</v>
      </c>
      <c r="G35" s="41"/>
      <c r="H35" s="149"/>
      <c r="I35" s="2"/>
      <c r="J35" s="127"/>
    </row>
    <row r="36" spans="1:10" ht="18.75" x14ac:dyDescent="0.25">
      <c r="A36" t="s">
        <v>84</v>
      </c>
      <c r="B36" s="129"/>
      <c r="C36" s="3" t="s">
        <v>19</v>
      </c>
      <c r="D36" s="4" t="s">
        <v>13</v>
      </c>
      <c r="E36" s="35" t="s">
        <v>2</v>
      </c>
      <c r="F36" s="35" t="s">
        <v>2</v>
      </c>
      <c r="G36" s="41"/>
      <c r="H36" s="149"/>
      <c r="I36" s="2"/>
      <c r="J36" s="127"/>
    </row>
    <row r="37" spans="1:10" ht="18.75" x14ac:dyDescent="0.25">
      <c r="A37" t="s">
        <v>84</v>
      </c>
      <c r="B37" s="129"/>
      <c r="C37" s="3" t="s">
        <v>20</v>
      </c>
      <c r="D37" s="4" t="s">
        <v>13</v>
      </c>
      <c r="E37" s="35" t="s">
        <v>2</v>
      </c>
      <c r="F37" s="35" t="s">
        <v>2</v>
      </c>
      <c r="G37" s="41"/>
      <c r="H37" s="149"/>
      <c r="I37" s="2"/>
      <c r="J37" s="127"/>
    </row>
    <row r="38" spans="1:10" ht="18.75" x14ac:dyDescent="0.25">
      <c r="A38" t="s">
        <v>84</v>
      </c>
      <c r="B38" s="38">
        <v>1.7</v>
      </c>
      <c r="C38" s="7" t="s">
        <v>21</v>
      </c>
      <c r="D38" s="4" t="s">
        <v>7</v>
      </c>
      <c r="E38" s="35">
        <v>4</v>
      </c>
      <c r="F38" s="4"/>
      <c r="G38" s="41">
        <f>IF(E38=0,0,IF(E38&lt;5,10,IF(E38&lt;10,6,IF(E38&gt;10,2))))</f>
        <v>10</v>
      </c>
      <c r="H38" s="149"/>
      <c r="I38" s="2">
        <v>10</v>
      </c>
      <c r="J38" s="127"/>
    </row>
    <row r="39" spans="1:10" ht="30" x14ac:dyDescent="0.25">
      <c r="A39" t="s">
        <v>84</v>
      </c>
      <c r="B39" s="38">
        <v>1.8</v>
      </c>
      <c r="C39" s="3" t="s">
        <v>22</v>
      </c>
      <c r="D39" s="4" t="s">
        <v>7</v>
      </c>
      <c r="E39" s="35">
        <v>25</v>
      </c>
      <c r="F39" s="4"/>
      <c r="G39" s="41">
        <f>IF(E39=0,0,IF(E39&lt;25,2,IF(E39&lt;40,4,IF(E39&lt;55,6,IF(E39&lt;70,8,IF(E39&gt;70,10))))))</f>
        <v>4</v>
      </c>
      <c r="H39" s="149"/>
      <c r="I39" s="2">
        <v>10</v>
      </c>
      <c r="J39" s="127"/>
    </row>
    <row r="40" spans="1:10" ht="45" x14ac:dyDescent="0.25">
      <c r="A40" t="s">
        <v>84</v>
      </c>
      <c r="B40" s="38">
        <v>1.9</v>
      </c>
      <c r="C40" s="4" t="s">
        <v>23</v>
      </c>
      <c r="D40" s="4" t="s">
        <v>7</v>
      </c>
      <c r="E40" s="35">
        <v>15</v>
      </c>
      <c r="F40" s="4"/>
      <c r="G40" s="41">
        <f>IF(E40=0,0,IF(E40&lt;15,2,IF(E40&lt;30,4,IF(E40&lt;45,6,IF(E40&lt;60,8,IF(E40&gt;60,10,))))))</f>
        <v>4</v>
      </c>
      <c r="H40" s="149"/>
      <c r="I40" s="2">
        <v>10</v>
      </c>
      <c r="J40" s="127"/>
    </row>
    <row r="41" spans="1:10" x14ac:dyDescent="0.25">
      <c r="A41" t="s">
        <v>84</v>
      </c>
      <c r="B41" s="36">
        <v>2</v>
      </c>
      <c r="C41" s="1" t="s">
        <v>24</v>
      </c>
      <c r="D41" s="8"/>
      <c r="E41" s="8"/>
      <c r="F41" s="8"/>
      <c r="G41" s="8"/>
      <c r="H41" s="8"/>
      <c r="I41" s="9"/>
      <c r="J41" s="8"/>
    </row>
    <row r="42" spans="1:10" ht="30" x14ac:dyDescent="0.25">
      <c r="A42" t="s">
        <v>84</v>
      </c>
      <c r="B42" s="37">
        <v>2.1</v>
      </c>
      <c r="C42" s="3" t="s">
        <v>25</v>
      </c>
      <c r="D42" s="4" t="s">
        <v>13</v>
      </c>
      <c r="E42" s="35" t="s">
        <v>1</v>
      </c>
      <c r="F42" s="4"/>
      <c r="G42" s="41">
        <f>IF(E42="No",20,0)</f>
        <v>0</v>
      </c>
      <c r="H42" s="149">
        <f>SUM(G42:G45)*(J42/100)</f>
        <v>4</v>
      </c>
      <c r="I42" s="2">
        <v>20</v>
      </c>
      <c r="J42" s="127">
        <v>5</v>
      </c>
    </row>
    <row r="43" spans="1:10" ht="30" x14ac:dyDescent="0.25">
      <c r="A43" t="s">
        <v>84</v>
      </c>
      <c r="B43" s="37">
        <v>2.2000000000000002</v>
      </c>
      <c r="C43" s="3" t="s">
        <v>26</v>
      </c>
      <c r="D43" s="4" t="s">
        <v>80</v>
      </c>
      <c r="E43" s="35" t="s">
        <v>1</v>
      </c>
      <c r="F43" s="35" t="s">
        <v>1</v>
      </c>
      <c r="G43" s="41">
        <f>IF(E43="Yes",15,0)+IF(F43="Yes",15,0)</f>
        <v>30</v>
      </c>
      <c r="H43" s="149"/>
      <c r="I43" s="2">
        <v>30</v>
      </c>
      <c r="J43" s="127"/>
    </row>
    <row r="44" spans="1:10" ht="18.75" x14ac:dyDescent="0.25">
      <c r="A44" t="s">
        <v>84</v>
      </c>
      <c r="B44" s="37">
        <v>2.2999999999999998</v>
      </c>
      <c r="C44" s="3" t="s">
        <v>27</v>
      </c>
      <c r="D44" s="4" t="s">
        <v>13</v>
      </c>
      <c r="E44" s="35" t="s">
        <v>2</v>
      </c>
      <c r="F44" s="4"/>
      <c r="G44" s="41">
        <f>IF(E44="Yes",0,20)</f>
        <v>20</v>
      </c>
      <c r="H44" s="149"/>
      <c r="I44" s="2">
        <v>20</v>
      </c>
      <c r="J44" s="127"/>
    </row>
    <row r="45" spans="1:10" ht="30" x14ac:dyDescent="0.25">
      <c r="A45" t="s">
        <v>84</v>
      </c>
      <c r="B45" s="37">
        <v>2.4</v>
      </c>
      <c r="C45" s="3" t="s">
        <v>28</v>
      </c>
      <c r="D45" s="4" t="s">
        <v>13</v>
      </c>
      <c r="E45" s="35" t="s">
        <v>2</v>
      </c>
      <c r="F45" s="4"/>
      <c r="G45" s="41">
        <f>IF(E45="Yes",0,30)</f>
        <v>30</v>
      </c>
      <c r="H45" s="149"/>
      <c r="I45" s="2">
        <v>30</v>
      </c>
      <c r="J45" s="127"/>
    </row>
    <row r="47" spans="1:10" x14ac:dyDescent="0.25">
      <c r="A47" t="s">
        <v>83</v>
      </c>
      <c r="B47" s="11">
        <v>1</v>
      </c>
      <c r="C47" s="12" t="s">
        <v>29</v>
      </c>
      <c r="D47" s="13"/>
      <c r="E47" s="13"/>
      <c r="F47" s="14"/>
      <c r="G47" s="14"/>
      <c r="H47" s="14"/>
      <c r="I47" s="15"/>
      <c r="J47" s="13"/>
    </row>
    <row r="48" spans="1:10" ht="43.5" x14ac:dyDescent="0.25">
      <c r="A48" t="s">
        <v>83</v>
      </c>
      <c r="B48" s="10">
        <v>1.1000000000000001</v>
      </c>
      <c r="C48" s="16" t="s">
        <v>47</v>
      </c>
      <c r="D48" s="17" t="s">
        <v>30</v>
      </c>
      <c r="E48" s="35" t="s">
        <v>2</v>
      </c>
      <c r="F48" s="17"/>
      <c r="G48" s="153">
        <f>IF(E48="Yes",15,0)+IF(E49="Yes",30,0)</f>
        <v>0</v>
      </c>
      <c r="H48" s="155">
        <f>SUM(G48:G53)*(J48/100)</f>
        <v>5</v>
      </c>
      <c r="I48" s="18">
        <v>15</v>
      </c>
      <c r="J48" s="124">
        <v>20</v>
      </c>
    </row>
    <row r="49" spans="1:10" x14ac:dyDescent="0.25">
      <c r="A49" t="s">
        <v>83</v>
      </c>
      <c r="B49" s="10" t="s">
        <v>81</v>
      </c>
      <c r="C49" s="16" t="s">
        <v>31</v>
      </c>
      <c r="D49" s="17" t="s">
        <v>32</v>
      </c>
      <c r="E49" s="35" t="s">
        <v>2</v>
      </c>
      <c r="F49" s="17" t="s">
        <v>33</v>
      </c>
      <c r="G49" s="154"/>
      <c r="H49" s="156"/>
      <c r="I49" s="18">
        <v>30</v>
      </c>
      <c r="J49" s="125"/>
    </row>
    <row r="50" spans="1:10" ht="18.75" x14ac:dyDescent="0.25">
      <c r="A50" t="s">
        <v>83</v>
      </c>
      <c r="B50" s="10">
        <v>1.2</v>
      </c>
      <c r="C50" s="16" t="s">
        <v>34</v>
      </c>
      <c r="D50" s="17" t="s">
        <v>32</v>
      </c>
      <c r="E50" s="35">
        <v>6</v>
      </c>
      <c r="F50" s="4" t="s">
        <v>79</v>
      </c>
      <c r="G50" s="41">
        <f>IF(E50=0,0,IF(E50&lt;3,8,IF(E50&lt;5,16,IF(E50&gt;5,20))))</f>
        <v>20</v>
      </c>
      <c r="H50" s="156"/>
      <c r="I50" s="18">
        <v>20</v>
      </c>
      <c r="J50" s="125"/>
    </row>
    <row r="51" spans="1:10" ht="18.75" x14ac:dyDescent="0.25">
      <c r="A51" t="s">
        <v>83</v>
      </c>
      <c r="B51" s="10">
        <v>1.3</v>
      </c>
      <c r="C51" s="16" t="s">
        <v>35</v>
      </c>
      <c r="D51" s="18" t="s">
        <v>30</v>
      </c>
      <c r="E51" s="35" t="s">
        <v>2</v>
      </c>
      <c r="F51" s="17"/>
      <c r="G51" s="41">
        <f>IF(E51="Yes",10,0)</f>
        <v>0</v>
      </c>
      <c r="H51" s="156"/>
      <c r="I51" s="18">
        <v>10</v>
      </c>
      <c r="J51" s="125"/>
    </row>
    <row r="52" spans="1:10" ht="18.75" x14ac:dyDescent="0.25">
      <c r="A52" t="s">
        <v>83</v>
      </c>
      <c r="B52" s="10">
        <v>1.4</v>
      </c>
      <c r="C52" s="16" t="s">
        <v>36</v>
      </c>
      <c r="D52" s="18" t="s">
        <v>30</v>
      </c>
      <c r="E52" s="35" t="s">
        <v>2</v>
      </c>
      <c r="F52" s="17"/>
      <c r="G52" s="41">
        <f>IF(E52="Yes",10,0)</f>
        <v>0</v>
      </c>
      <c r="H52" s="156"/>
      <c r="I52" s="18">
        <v>10</v>
      </c>
      <c r="J52" s="125"/>
    </row>
    <row r="53" spans="1:10" ht="18.75" x14ac:dyDescent="0.25">
      <c r="A53" t="s">
        <v>83</v>
      </c>
      <c r="B53" s="10">
        <v>1.5</v>
      </c>
      <c r="C53" s="16" t="s">
        <v>37</v>
      </c>
      <c r="D53" s="18" t="s">
        <v>38</v>
      </c>
      <c r="E53" s="35">
        <v>5</v>
      </c>
      <c r="F53" s="4" t="s">
        <v>79</v>
      </c>
      <c r="G53" s="41">
        <f>IF(E53=0,0,IF(E53&lt;3,15,IF(E53&lt;5,10,IF(E53&lt;10,5,IF(E53&gt;10,0)))))</f>
        <v>5</v>
      </c>
      <c r="H53" s="157"/>
      <c r="I53" s="18">
        <v>15</v>
      </c>
      <c r="J53" s="135"/>
    </row>
    <row r="54" spans="1:10" x14ac:dyDescent="0.25">
      <c r="A54" t="s">
        <v>83</v>
      </c>
      <c r="B54" s="11">
        <v>2</v>
      </c>
      <c r="C54" s="12" t="s">
        <v>39</v>
      </c>
      <c r="D54" s="13"/>
      <c r="E54" s="13"/>
      <c r="F54" s="14"/>
      <c r="G54" s="14"/>
      <c r="H54" s="14"/>
      <c r="I54" s="15"/>
      <c r="J54" s="13"/>
    </row>
    <row r="55" spans="1:10" ht="30" x14ac:dyDescent="0.25">
      <c r="A55" t="s">
        <v>83</v>
      </c>
      <c r="B55" s="42">
        <v>2.1</v>
      </c>
      <c r="C55" s="19" t="s">
        <v>40</v>
      </c>
      <c r="D55" s="40" t="s">
        <v>82</v>
      </c>
      <c r="E55" s="35" t="s">
        <v>91</v>
      </c>
      <c r="F55" s="35" t="s">
        <v>2</v>
      </c>
      <c r="G55" s="41">
        <f>IF(E55="Yes",15,IF(E55="No",0,IF(E55="WIP",5,)))+IF(F55="Yes",5,0)</f>
        <v>5</v>
      </c>
      <c r="H55" s="150">
        <f>SUM(G55:G61)*(J55/100)</f>
        <v>3</v>
      </c>
      <c r="I55" s="18">
        <v>20</v>
      </c>
      <c r="J55" s="124">
        <v>20</v>
      </c>
    </row>
    <row r="56" spans="1:10" ht="18.75" x14ac:dyDescent="0.25">
      <c r="A56" t="s">
        <v>83</v>
      </c>
      <c r="B56" s="10">
        <v>2.2000000000000002</v>
      </c>
      <c r="C56" s="19" t="s">
        <v>41</v>
      </c>
      <c r="D56" s="17" t="s">
        <v>30</v>
      </c>
      <c r="E56" s="35" t="s">
        <v>2</v>
      </c>
      <c r="F56" s="17"/>
      <c r="G56" s="41">
        <f>IF(E56="Yes",10,0)</f>
        <v>0</v>
      </c>
      <c r="H56" s="151"/>
      <c r="I56" s="18">
        <v>10</v>
      </c>
      <c r="J56" s="125"/>
    </row>
    <row r="57" spans="1:10" ht="18.75" x14ac:dyDescent="0.25">
      <c r="A57" t="s">
        <v>83</v>
      </c>
      <c r="B57" s="10">
        <v>2.2999999999999998</v>
      </c>
      <c r="C57" s="19" t="s">
        <v>42</v>
      </c>
      <c r="D57" s="17" t="s">
        <v>30</v>
      </c>
      <c r="E57" s="35" t="s">
        <v>2</v>
      </c>
      <c r="F57" s="17"/>
      <c r="G57" s="41">
        <f>IF(E57="Yes",10,0)</f>
        <v>0</v>
      </c>
      <c r="H57" s="151"/>
      <c r="I57" s="18">
        <v>10</v>
      </c>
      <c r="J57" s="125"/>
    </row>
    <row r="58" spans="1:10" ht="18.75" x14ac:dyDescent="0.25">
      <c r="A58" t="s">
        <v>83</v>
      </c>
      <c r="B58" s="10">
        <v>2.4</v>
      </c>
      <c r="C58" s="19" t="s">
        <v>43</v>
      </c>
      <c r="D58" s="17" t="s">
        <v>38</v>
      </c>
      <c r="E58" s="35">
        <v>0</v>
      </c>
      <c r="F58" s="4" t="s">
        <v>79</v>
      </c>
      <c r="G58" s="41">
        <f>IF(E58=0,0,IF(E58&lt;8,5,IF(E58&lt;16,10,IF(E58&gt;16,15))))</f>
        <v>0</v>
      </c>
      <c r="H58" s="151"/>
      <c r="I58" s="18">
        <v>15</v>
      </c>
      <c r="J58" s="125"/>
    </row>
    <row r="59" spans="1:10" ht="18.75" x14ac:dyDescent="0.25">
      <c r="A59" t="s">
        <v>83</v>
      </c>
      <c r="B59" s="10">
        <v>2.5</v>
      </c>
      <c r="C59" s="20" t="s">
        <v>44</v>
      </c>
      <c r="D59" s="17" t="s">
        <v>30</v>
      </c>
      <c r="E59" s="35" t="s">
        <v>2</v>
      </c>
      <c r="F59" s="17"/>
      <c r="G59" s="41">
        <f>IF(E59="Yes",15,0)</f>
        <v>0</v>
      </c>
      <c r="H59" s="151"/>
      <c r="I59" s="18">
        <v>15</v>
      </c>
      <c r="J59" s="125"/>
    </row>
    <row r="60" spans="1:10" ht="18.75" x14ac:dyDescent="0.25">
      <c r="A60" t="s">
        <v>83</v>
      </c>
      <c r="B60" s="10">
        <v>2.6</v>
      </c>
      <c r="C60" s="21" t="s">
        <v>45</v>
      </c>
      <c r="D60" s="17" t="s">
        <v>7</v>
      </c>
      <c r="E60" s="35">
        <v>6</v>
      </c>
      <c r="F60" s="4" t="s">
        <v>79</v>
      </c>
      <c r="G60" s="41">
        <f>IF(E60=0,0,IF(E60&lt;5,15,IF(E60&lt;10,10,IF(E60&lt;15,5,IF(E60&gt;15,0)))))</f>
        <v>10</v>
      </c>
      <c r="H60" s="151"/>
      <c r="I60" s="18">
        <v>15</v>
      </c>
      <c r="J60" s="125"/>
    </row>
    <row r="61" spans="1:10" ht="18.75" x14ac:dyDescent="0.25">
      <c r="A61" t="s">
        <v>83</v>
      </c>
      <c r="B61" s="10">
        <v>2.7</v>
      </c>
      <c r="C61" s="20" t="s">
        <v>46</v>
      </c>
      <c r="D61" s="17" t="s">
        <v>30</v>
      </c>
      <c r="E61" s="35" t="s">
        <v>2</v>
      </c>
      <c r="F61" s="17"/>
      <c r="G61" s="41">
        <f>IF(E61="Yes",15,0)</f>
        <v>0</v>
      </c>
      <c r="H61" s="152"/>
      <c r="I61" s="18">
        <v>15</v>
      </c>
      <c r="J61" s="125"/>
    </row>
  </sheetData>
  <mergeCells count="17">
    <mergeCell ref="I7:J7"/>
    <mergeCell ref="G8:G9"/>
    <mergeCell ref="H8:H17"/>
    <mergeCell ref="J8:J16"/>
    <mergeCell ref="B18:C18"/>
    <mergeCell ref="B32:B37"/>
    <mergeCell ref="H42:H45"/>
    <mergeCell ref="J42:J45"/>
    <mergeCell ref="G48:G49"/>
    <mergeCell ref="H48:H53"/>
    <mergeCell ref="J48:J53"/>
    <mergeCell ref="H19:H24"/>
    <mergeCell ref="J19:J24"/>
    <mergeCell ref="H55:H61"/>
    <mergeCell ref="J55:J61"/>
    <mergeCell ref="H27:H40"/>
    <mergeCell ref="J27:J40"/>
  </mergeCells>
  <dataValidations count="3">
    <dataValidation type="list" allowBlank="1" showInputMessage="1" showErrorMessage="1" sqref="E55">
      <formula1>"Yes, No, WIP"</formula1>
    </dataValidation>
    <dataValidation type="list" allowBlank="1" showInputMessage="1" showErrorMessage="1" sqref="F14 F16 F20">
      <formula1>"Monthly, Quarterly, Half Yearly, Annual"</formula1>
    </dataValidation>
    <dataValidation type="list" allowBlank="1" showInputMessage="1" showErrorMessage="1" sqref="E8:E9 E12:E16 F13 E19:F19 E22:E24 E32 E34:F37 F43 E42:E45 E48:E49 E51:E52 F55 E56:E57 E59 E61">
      <formula1>"Yes, No"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topLeftCell="A34" workbookViewId="0">
      <selection activeCell="G46" sqref="G46"/>
    </sheetView>
  </sheetViews>
  <sheetFormatPr defaultRowHeight="15" x14ac:dyDescent="0.25"/>
  <cols>
    <col min="1" max="1" width="12.42578125" bestFit="1" customWidth="1"/>
    <col min="3" max="3" width="57.42578125" customWidth="1"/>
    <col min="4" max="4" width="26.5703125" customWidth="1"/>
    <col min="5" max="5" width="10.42578125" bestFit="1" customWidth="1"/>
    <col min="6" max="6" width="48.5703125" customWidth="1"/>
  </cols>
  <sheetData>
    <row r="2" spans="1:10" x14ac:dyDescent="0.25">
      <c r="A2" s="23" t="s">
        <v>85</v>
      </c>
      <c r="B2">
        <v>40</v>
      </c>
      <c r="C2">
        <f>(H8+H19)*(B2/100)</f>
        <v>4.8000000000000007</v>
      </c>
    </row>
    <row r="3" spans="1:10" x14ac:dyDescent="0.25">
      <c r="A3" s="44" t="s">
        <v>84</v>
      </c>
      <c r="B3">
        <v>30</v>
      </c>
      <c r="C3">
        <f>(H27+H42)*(B3/100)</f>
        <v>1.2</v>
      </c>
    </row>
    <row r="4" spans="1:10" x14ac:dyDescent="0.25">
      <c r="A4" s="11" t="s">
        <v>83</v>
      </c>
      <c r="B4">
        <v>30</v>
      </c>
      <c r="C4">
        <f>(H48+H55)*(B4/100)</f>
        <v>4.9800000000000004</v>
      </c>
    </row>
    <row r="5" spans="1:10" x14ac:dyDescent="0.25">
      <c r="A5" s="43" t="s">
        <v>86</v>
      </c>
      <c r="B5">
        <f>SUM(B2:B4)</f>
        <v>100</v>
      </c>
      <c r="C5">
        <f>SUM(C2:C4)</f>
        <v>10.98</v>
      </c>
    </row>
    <row r="7" spans="1:10" x14ac:dyDescent="0.25">
      <c r="A7" t="s">
        <v>85</v>
      </c>
      <c r="B7" s="23">
        <v>1</v>
      </c>
      <c r="C7" s="22" t="s">
        <v>48</v>
      </c>
      <c r="D7" s="22" t="s">
        <v>3</v>
      </c>
      <c r="E7" s="22" t="s">
        <v>0</v>
      </c>
      <c r="F7" s="22" t="s">
        <v>4</v>
      </c>
      <c r="G7" s="22"/>
      <c r="H7" s="22"/>
      <c r="I7" s="141" t="s">
        <v>49</v>
      </c>
      <c r="J7" s="141"/>
    </row>
    <row r="8" spans="1:10" ht="45" x14ac:dyDescent="0.25">
      <c r="A8" t="s">
        <v>85</v>
      </c>
      <c r="B8" s="27">
        <v>1.1000000000000001</v>
      </c>
      <c r="C8" s="24" t="s">
        <v>50</v>
      </c>
      <c r="D8" s="25" t="s">
        <v>30</v>
      </c>
      <c r="E8" s="35" t="s">
        <v>2</v>
      </c>
      <c r="F8" s="25"/>
      <c r="G8" s="158">
        <f>IF(E8="Yes",5,0)+IF(E9="Yes",5,0)</f>
        <v>5</v>
      </c>
      <c r="H8" s="149">
        <f>SUM(G8:G17)*(J8/100)</f>
        <v>8.4</v>
      </c>
      <c r="I8" s="27">
        <v>10</v>
      </c>
      <c r="J8" s="142">
        <v>20</v>
      </c>
    </row>
    <row r="9" spans="1:10" ht="30" x14ac:dyDescent="0.25">
      <c r="A9" t="s">
        <v>85</v>
      </c>
      <c r="B9" s="27"/>
      <c r="C9" s="24" t="s">
        <v>72</v>
      </c>
      <c r="D9" s="25" t="s">
        <v>51</v>
      </c>
      <c r="E9" s="35" t="s">
        <v>1</v>
      </c>
      <c r="F9" s="25" t="s">
        <v>52</v>
      </c>
      <c r="G9" s="158"/>
      <c r="H9" s="149"/>
      <c r="I9" s="27"/>
      <c r="J9" s="142"/>
    </row>
    <row r="10" spans="1:10" ht="30" x14ac:dyDescent="0.25">
      <c r="A10" t="s">
        <v>85</v>
      </c>
      <c r="B10" s="28">
        <v>1.2</v>
      </c>
      <c r="C10" s="24" t="s">
        <v>53</v>
      </c>
      <c r="D10" s="24" t="s">
        <v>73</v>
      </c>
      <c r="E10" s="35"/>
      <c r="F10" s="24" t="s">
        <v>74</v>
      </c>
      <c r="G10" s="41">
        <f>IF(E10=0,0,IF(E10&lt;3,8,IF(E10&lt;5,15,IF(E10&gt;5,20))))</f>
        <v>0</v>
      </c>
      <c r="H10" s="149"/>
      <c r="I10" s="27">
        <v>20</v>
      </c>
      <c r="J10" s="142"/>
    </row>
    <row r="11" spans="1:10" ht="105" x14ac:dyDescent="0.25">
      <c r="A11" t="s">
        <v>85</v>
      </c>
      <c r="B11" s="27">
        <v>1.3</v>
      </c>
      <c r="C11" s="29" t="s">
        <v>54</v>
      </c>
      <c r="D11" s="30" t="s">
        <v>55</v>
      </c>
      <c r="E11" s="35">
        <v>6</v>
      </c>
      <c r="F11" s="31" t="s">
        <v>56</v>
      </c>
      <c r="G11" s="41">
        <f>IF(E11=0,0,IF(E11&lt;3,8,IF(E11&lt;5,15,IF(E11&gt;5,20))))</f>
        <v>20</v>
      </c>
      <c r="H11" s="149"/>
      <c r="I11" s="32">
        <v>20</v>
      </c>
      <c r="J11" s="142"/>
    </row>
    <row r="12" spans="1:10" ht="30" x14ac:dyDescent="0.25">
      <c r="A12" t="s">
        <v>85</v>
      </c>
      <c r="B12" s="27" t="s">
        <v>57</v>
      </c>
      <c r="C12" s="29" t="s">
        <v>58</v>
      </c>
      <c r="D12" s="30" t="s">
        <v>30</v>
      </c>
      <c r="E12" s="35" t="s">
        <v>1</v>
      </c>
      <c r="F12" s="31"/>
      <c r="G12" s="41">
        <f>IF(E12="Yes",0,10)</f>
        <v>0</v>
      </c>
      <c r="H12" s="149"/>
      <c r="I12" s="32">
        <v>10</v>
      </c>
      <c r="J12" s="142"/>
    </row>
    <row r="13" spans="1:10" ht="45" x14ac:dyDescent="0.25">
      <c r="A13" t="s">
        <v>85</v>
      </c>
      <c r="B13" s="27" t="s">
        <v>59</v>
      </c>
      <c r="C13" s="24" t="s">
        <v>60</v>
      </c>
      <c r="D13" s="25" t="s">
        <v>75</v>
      </c>
      <c r="E13" s="35" t="s">
        <v>1</v>
      </c>
      <c r="F13" s="35" t="s">
        <v>2</v>
      </c>
      <c r="G13" s="41">
        <f>IF(E13="Yes",5,0)+IF(F13="Yes",5,0)</f>
        <v>5</v>
      </c>
      <c r="H13" s="149"/>
      <c r="I13" s="27">
        <v>10</v>
      </c>
      <c r="J13" s="142"/>
    </row>
    <row r="14" spans="1:10" ht="30" x14ac:dyDescent="0.25">
      <c r="A14" t="s">
        <v>85</v>
      </c>
      <c r="B14" s="27">
        <v>1.6</v>
      </c>
      <c r="C14" s="24" t="s">
        <v>76</v>
      </c>
      <c r="D14" s="24" t="s">
        <v>61</v>
      </c>
      <c r="E14" s="35" t="s">
        <v>2</v>
      </c>
      <c r="F14" s="35" t="s">
        <v>90</v>
      </c>
      <c r="G14" s="41">
        <f>IF(E14="Yes",5,0)+(IF(F14="Monthly",5,IF(F14="Quarterly",4,IF(F14="Half Yearly",3,IF(F14="Annual",2,0)))))</f>
        <v>3</v>
      </c>
      <c r="H14" s="149"/>
      <c r="I14" s="27">
        <v>10</v>
      </c>
      <c r="J14" s="142"/>
    </row>
    <row r="15" spans="1:10" ht="30" x14ac:dyDescent="0.25">
      <c r="A15" t="s">
        <v>85</v>
      </c>
      <c r="B15" s="27">
        <v>1.7</v>
      </c>
      <c r="C15" s="24" t="s">
        <v>62</v>
      </c>
      <c r="D15" s="25" t="s">
        <v>30</v>
      </c>
      <c r="E15" s="35" t="s">
        <v>2</v>
      </c>
      <c r="F15" s="25" t="s">
        <v>63</v>
      </c>
      <c r="G15" s="41">
        <f>IF(E15="Yes",10,0)</f>
        <v>0</v>
      </c>
      <c r="H15" s="149"/>
      <c r="I15" s="27">
        <v>10</v>
      </c>
      <c r="J15" s="142"/>
    </row>
    <row r="16" spans="1:10" ht="30" x14ac:dyDescent="0.25">
      <c r="A16" t="s">
        <v>85</v>
      </c>
      <c r="B16" s="27">
        <v>1.8</v>
      </c>
      <c r="C16" s="24" t="s">
        <v>77</v>
      </c>
      <c r="D16" s="24" t="s">
        <v>61</v>
      </c>
      <c r="E16" s="35" t="s">
        <v>1</v>
      </c>
      <c r="F16" s="35" t="s">
        <v>89</v>
      </c>
      <c r="G16" s="47">
        <f>IF(E16="Yes",5,0)+(IF(F16="Monthly",5,IF(F16="Quarterly",4,IF(F16="Half Yearly",3,IF(F16="Annual",2,0)))))</f>
        <v>9</v>
      </c>
      <c r="H16" s="149"/>
      <c r="I16" s="27">
        <v>10</v>
      </c>
      <c r="J16" s="142"/>
    </row>
    <row r="17" spans="1:10" ht="18.75" x14ac:dyDescent="0.25">
      <c r="A17" t="s">
        <v>85</v>
      </c>
      <c r="B17" s="27"/>
      <c r="C17" s="24"/>
      <c r="D17" s="25"/>
      <c r="E17" s="25"/>
      <c r="F17" s="25"/>
      <c r="G17" s="41"/>
      <c r="H17" s="149"/>
      <c r="I17" s="26"/>
      <c r="J17" s="26"/>
    </row>
    <row r="18" spans="1:10" ht="18.75" x14ac:dyDescent="0.25">
      <c r="A18" t="s">
        <v>85</v>
      </c>
      <c r="B18" s="143" t="s">
        <v>64</v>
      </c>
      <c r="C18" s="143"/>
      <c r="D18" s="22"/>
      <c r="E18" s="22"/>
      <c r="F18" s="22"/>
      <c r="G18" s="41"/>
      <c r="H18" s="39"/>
      <c r="I18" s="22"/>
      <c r="J18" s="22"/>
    </row>
    <row r="19" spans="1:10" ht="60" x14ac:dyDescent="0.25">
      <c r="A19" t="s">
        <v>85</v>
      </c>
      <c r="B19" s="33">
        <v>2.1</v>
      </c>
      <c r="C19" s="24" t="s">
        <v>65</v>
      </c>
      <c r="D19" s="25" t="s">
        <v>75</v>
      </c>
      <c r="E19" s="35" t="s">
        <v>2</v>
      </c>
      <c r="F19" s="35" t="s">
        <v>2</v>
      </c>
      <c r="G19" s="41">
        <f>IF(E19="Yes",15,0)+IF(F19="Yes",15,0)</f>
        <v>0</v>
      </c>
      <c r="H19" s="149">
        <f>SUM(G19:G24)*(J19/100)</f>
        <v>3.5999999999999996</v>
      </c>
      <c r="I19" s="34">
        <v>30</v>
      </c>
      <c r="J19" s="128">
        <v>15</v>
      </c>
    </row>
    <row r="20" spans="1:10" ht="45" x14ac:dyDescent="0.25">
      <c r="A20" t="s">
        <v>85</v>
      </c>
      <c r="B20" s="27">
        <v>2.2000000000000002</v>
      </c>
      <c r="C20" s="24" t="s">
        <v>66</v>
      </c>
      <c r="D20" s="24" t="s">
        <v>61</v>
      </c>
      <c r="E20" s="24"/>
      <c r="F20" s="35" t="s">
        <v>90</v>
      </c>
      <c r="G20" s="41">
        <f>(IF(F20="Monthly",15,IF(F20="Quarterly",12,IF(F20="Half Yearly",9,IF(F20="Annual",6,0)))))</f>
        <v>9</v>
      </c>
      <c r="H20" s="149"/>
      <c r="I20" s="26">
        <v>15</v>
      </c>
      <c r="J20" s="128"/>
    </row>
    <row r="21" spans="1:10" ht="30" x14ac:dyDescent="0.25">
      <c r="A21" t="s">
        <v>85</v>
      </c>
      <c r="B21" s="27">
        <v>2.2999999999999998</v>
      </c>
      <c r="C21" s="24" t="s">
        <v>67</v>
      </c>
      <c r="D21" s="24" t="s">
        <v>32</v>
      </c>
      <c r="E21" s="35"/>
      <c r="F21" s="24" t="s">
        <v>74</v>
      </c>
      <c r="G21" s="41">
        <f>IF(E21=0,0,IF(E21&lt;3,8,IF(E21&lt;5,15,IF(E21&gt;5,20))))</f>
        <v>0</v>
      </c>
      <c r="H21" s="149"/>
      <c r="I21" s="26">
        <v>20</v>
      </c>
      <c r="J21" s="128"/>
    </row>
    <row r="22" spans="1:10" ht="18.75" x14ac:dyDescent="0.25">
      <c r="A22" t="s">
        <v>85</v>
      </c>
      <c r="B22" s="27">
        <v>2.4</v>
      </c>
      <c r="C22" s="24" t="s">
        <v>68</v>
      </c>
      <c r="D22" s="24" t="s">
        <v>69</v>
      </c>
      <c r="E22" s="35" t="s">
        <v>2</v>
      </c>
      <c r="F22" s="24" t="s">
        <v>78</v>
      </c>
      <c r="G22" s="41">
        <f>IF(E22="Yes",10,0)</f>
        <v>0</v>
      </c>
      <c r="H22" s="149"/>
      <c r="I22" s="26">
        <v>10</v>
      </c>
      <c r="J22" s="128"/>
    </row>
    <row r="23" spans="1:10" ht="30" x14ac:dyDescent="0.25">
      <c r="A23" t="s">
        <v>85</v>
      </c>
      <c r="B23" s="27">
        <v>2.5</v>
      </c>
      <c r="C23" s="24" t="s">
        <v>70</v>
      </c>
      <c r="D23" s="24" t="s">
        <v>69</v>
      </c>
      <c r="E23" s="35" t="s">
        <v>2</v>
      </c>
      <c r="F23" s="24" t="s">
        <v>78</v>
      </c>
      <c r="G23" s="41">
        <f>IF(E23="Yes",10,0)</f>
        <v>0</v>
      </c>
      <c r="H23" s="149"/>
      <c r="I23" s="26">
        <v>10</v>
      </c>
      <c r="J23" s="128"/>
    </row>
    <row r="24" spans="1:10" ht="30" x14ac:dyDescent="0.25">
      <c r="A24" t="s">
        <v>85</v>
      </c>
      <c r="B24" s="27">
        <v>2.6</v>
      </c>
      <c r="C24" s="24" t="s">
        <v>71</v>
      </c>
      <c r="D24" s="24" t="s">
        <v>30</v>
      </c>
      <c r="E24" s="35" t="s">
        <v>1</v>
      </c>
      <c r="F24" s="24"/>
      <c r="G24" s="41">
        <f>IF(E24="Yes",15,0)</f>
        <v>15</v>
      </c>
      <c r="H24" s="149"/>
      <c r="I24" s="26">
        <v>15</v>
      </c>
      <c r="J24" s="128"/>
    </row>
    <row r="26" spans="1:10" x14ac:dyDescent="0.25">
      <c r="A26" t="s">
        <v>84</v>
      </c>
      <c r="B26" s="36">
        <v>1</v>
      </c>
      <c r="C26" s="1" t="s">
        <v>5</v>
      </c>
      <c r="D26" s="8"/>
      <c r="E26" s="8"/>
      <c r="F26" s="8"/>
      <c r="G26" s="8"/>
      <c r="H26" s="8"/>
      <c r="I26" s="9"/>
      <c r="J26" s="8"/>
    </row>
    <row r="27" spans="1:10" ht="30" x14ac:dyDescent="0.25">
      <c r="A27" t="s">
        <v>84</v>
      </c>
      <c r="B27" s="37">
        <v>1.1000000000000001</v>
      </c>
      <c r="C27" s="3" t="s">
        <v>6</v>
      </c>
      <c r="D27" s="4" t="s">
        <v>7</v>
      </c>
      <c r="E27" s="35">
        <v>15</v>
      </c>
      <c r="F27" s="4" t="s">
        <v>79</v>
      </c>
      <c r="G27" s="41">
        <f>IF(E27=0,0,IF(E27&lt;5,6,IF(E27&lt;10,8,IF(E27&gt;10,10))))</f>
        <v>10</v>
      </c>
      <c r="H27" s="149">
        <f>SUM(G27:G40)*(J27/100)</f>
        <v>4</v>
      </c>
      <c r="I27" s="2">
        <v>10</v>
      </c>
      <c r="J27" s="127">
        <v>10</v>
      </c>
    </row>
    <row r="28" spans="1:10" ht="30" x14ac:dyDescent="0.25">
      <c r="A28" t="s">
        <v>84</v>
      </c>
      <c r="B28" s="37">
        <v>1.2</v>
      </c>
      <c r="C28" s="3" t="s">
        <v>8</v>
      </c>
      <c r="D28" s="4" t="s">
        <v>7</v>
      </c>
      <c r="E28" s="35">
        <v>7</v>
      </c>
      <c r="F28" s="4" t="s">
        <v>79</v>
      </c>
      <c r="G28" s="41">
        <f>IF(E28=0,0,IF(E28&lt;5,6,IF(E28&lt;10,8,IF(E28&gt;10,10))))</f>
        <v>8</v>
      </c>
      <c r="H28" s="149"/>
      <c r="I28" s="2">
        <v>10</v>
      </c>
      <c r="J28" s="127"/>
    </row>
    <row r="29" spans="1:10" ht="30" x14ac:dyDescent="0.25">
      <c r="A29" t="s">
        <v>84</v>
      </c>
      <c r="B29" s="37">
        <v>1.3</v>
      </c>
      <c r="C29" s="3" t="s">
        <v>9</v>
      </c>
      <c r="D29" s="4" t="s">
        <v>7</v>
      </c>
      <c r="E29" s="35">
        <v>5</v>
      </c>
      <c r="F29" s="4" t="s">
        <v>79</v>
      </c>
      <c r="G29" s="41">
        <f>IF(E29=0,0,IF(E29&lt;5,6,IF(E29&lt;10,8,IF(E29&gt;10,10))))</f>
        <v>8</v>
      </c>
      <c r="H29" s="149"/>
      <c r="I29" s="2">
        <v>10</v>
      </c>
      <c r="J29" s="127"/>
    </row>
    <row r="30" spans="1:10" ht="30" x14ac:dyDescent="0.25">
      <c r="A30" t="s">
        <v>84</v>
      </c>
      <c r="B30" s="37">
        <v>1.4</v>
      </c>
      <c r="C30" s="3" t="s">
        <v>10</v>
      </c>
      <c r="D30" s="4" t="s">
        <v>7</v>
      </c>
      <c r="E30" s="35">
        <v>0</v>
      </c>
      <c r="F30" s="4" t="s">
        <v>79</v>
      </c>
      <c r="G30" s="41">
        <f>IF(E30=0,0,IF(E30&lt;5,6,IF(E30&lt;10,8,IF(E30&gt;10,10))))</f>
        <v>0</v>
      </c>
      <c r="H30" s="149"/>
      <c r="I30" s="2">
        <v>10</v>
      </c>
      <c r="J30" s="127"/>
    </row>
    <row r="31" spans="1:10" ht="45" x14ac:dyDescent="0.25">
      <c r="A31" t="s">
        <v>84</v>
      </c>
      <c r="B31" s="37">
        <v>1.5</v>
      </c>
      <c r="C31" s="3" t="s">
        <v>11</v>
      </c>
      <c r="D31" s="4" t="s">
        <v>7</v>
      </c>
      <c r="E31" s="35">
        <v>50</v>
      </c>
      <c r="F31" s="4"/>
      <c r="G31" s="41">
        <f>IF(E31=0,0,IF(E31&lt;5,10,IF(E31&lt;10,6,IF(E31&gt;10,2))))</f>
        <v>2</v>
      </c>
      <c r="H31" s="149"/>
      <c r="I31" s="2">
        <v>10</v>
      </c>
      <c r="J31" s="127"/>
    </row>
    <row r="32" spans="1:10" ht="45" x14ac:dyDescent="0.25">
      <c r="A32" t="s">
        <v>84</v>
      </c>
      <c r="B32" s="129">
        <v>1.6</v>
      </c>
      <c r="C32" s="5" t="s">
        <v>12</v>
      </c>
      <c r="D32" s="6" t="s">
        <v>13</v>
      </c>
      <c r="E32" s="35" t="s">
        <v>1</v>
      </c>
      <c r="F32" s="4" t="s">
        <v>14</v>
      </c>
      <c r="G32" s="41">
        <f>IF(E32="Yes",0,0)+IF(E34="Yes",2,0)+IF(E35="Yes",2,0)+IF(E36="Yes",2,0)+IF(E37="Yes",2,0)+IF(F34="Yes",3,0)+IF(F35="Yes",3,0)+IF(F36="Yes",3,0)+IF(F37="Yes",3,0)</f>
        <v>0</v>
      </c>
      <c r="H32" s="149"/>
      <c r="I32" s="2" t="s">
        <v>15</v>
      </c>
      <c r="J32" s="127"/>
    </row>
    <row r="33" spans="1:10" ht="18.75" x14ac:dyDescent="0.25">
      <c r="A33" t="s">
        <v>84</v>
      </c>
      <c r="B33" s="129"/>
      <c r="C33" s="3" t="s">
        <v>16</v>
      </c>
      <c r="D33" s="4"/>
      <c r="E33" s="4"/>
      <c r="F33" s="4"/>
      <c r="G33" s="41"/>
      <c r="H33" s="149"/>
      <c r="I33" s="2"/>
      <c r="J33" s="127"/>
    </row>
    <row r="34" spans="1:10" ht="18.75" x14ac:dyDescent="0.25">
      <c r="A34" t="s">
        <v>84</v>
      </c>
      <c r="B34" s="129"/>
      <c r="C34" s="3" t="s">
        <v>17</v>
      </c>
      <c r="D34" s="4" t="s">
        <v>13</v>
      </c>
      <c r="E34" s="35" t="s">
        <v>2</v>
      </c>
      <c r="F34" s="35" t="s">
        <v>2</v>
      </c>
      <c r="G34" s="41"/>
      <c r="H34" s="149"/>
      <c r="I34" s="2"/>
      <c r="J34" s="127"/>
    </row>
    <row r="35" spans="1:10" ht="18.75" x14ac:dyDescent="0.25">
      <c r="A35" t="s">
        <v>84</v>
      </c>
      <c r="B35" s="129"/>
      <c r="C35" s="3" t="s">
        <v>18</v>
      </c>
      <c r="D35" s="4" t="s">
        <v>13</v>
      </c>
      <c r="E35" s="35" t="s">
        <v>2</v>
      </c>
      <c r="F35" s="35" t="s">
        <v>2</v>
      </c>
      <c r="G35" s="41"/>
      <c r="H35" s="149"/>
      <c r="I35" s="2"/>
      <c r="J35" s="127"/>
    </row>
    <row r="36" spans="1:10" ht="18.75" x14ac:dyDescent="0.25">
      <c r="A36" t="s">
        <v>84</v>
      </c>
      <c r="B36" s="129"/>
      <c r="C36" s="3" t="s">
        <v>19</v>
      </c>
      <c r="D36" s="4" t="s">
        <v>13</v>
      </c>
      <c r="E36" s="35" t="s">
        <v>2</v>
      </c>
      <c r="F36" s="35" t="s">
        <v>2</v>
      </c>
      <c r="G36" s="41"/>
      <c r="H36" s="149"/>
      <c r="I36" s="2"/>
      <c r="J36" s="127"/>
    </row>
    <row r="37" spans="1:10" ht="18.75" x14ac:dyDescent="0.25">
      <c r="A37" t="s">
        <v>84</v>
      </c>
      <c r="B37" s="129"/>
      <c r="C37" s="3" t="s">
        <v>20</v>
      </c>
      <c r="D37" s="4" t="s">
        <v>13</v>
      </c>
      <c r="E37" s="35" t="s">
        <v>2</v>
      </c>
      <c r="F37" s="35" t="s">
        <v>2</v>
      </c>
      <c r="G37" s="41"/>
      <c r="H37" s="149"/>
      <c r="I37" s="2"/>
      <c r="J37" s="127"/>
    </row>
    <row r="38" spans="1:10" ht="18.75" x14ac:dyDescent="0.25">
      <c r="A38" t="s">
        <v>84</v>
      </c>
      <c r="B38" s="38">
        <v>1.7</v>
      </c>
      <c r="C38" s="7" t="s">
        <v>21</v>
      </c>
      <c r="D38" s="4" t="s">
        <v>7</v>
      </c>
      <c r="E38" s="35">
        <v>0</v>
      </c>
      <c r="F38" s="4"/>
      <c r="G38" s="41">
        <f>IF(E38=0,0,IF(E38&lt;5,10,IF(E38&lt;10,6,IF(E38&gt;10,2))))</f>
        <v>0</v>
      </c>
      <c r="H38" s="149"/>
      <c r="I38" s="2">
        <v>10</v>
      </c>
      <c r="J38" s="127"/>
    </row>
    <row r="39" spans="1:10" ht="30" x14ac:dyDescent="0.25">
      <c r="A39" t="s">
        <v>84</v>
      </c>
      <c r="B39" s="38">
        <v>1.8</v>
      </c>
      <c r="C39" s="3" t="s">
        <v>22</v>
      </c>
      <c r="D39" s="4" t="s">
        <v>7</v>
      </c>
      <c r="E39" s="35">
        <v>40</v>
      </c>
      <c r="F39" s="4"/>
      <c r="G39" s="41">
        <f>IF(E39=0,0,IF(E39&lt;25,2,IF(E39&lt;40,4,IF(E39&lt;55,6,IF(E39&lt;70,8,IF(E39&gt;70,10))))))</f>
        <v>6</v>
      </c>
      <c r="H39" s="149"/>
      <c r="I39" s="2">
        <v>10</v>
      </c>
      <c r="J39" s="127"/>
    </row>
    <row r="40" spans="1:10" ht="45" x14ac:dyDescent="0.25">
      <c r="A40" t="s">
        <v>84</v>
      </c>
      <c r="B40" s="38">
        <v>1.9</v>
      </c>
      <c r="C40" s="4" t="s">
        <v>23</v>
      </c>
      <c r="D40" s="4" t="s">
        <v>7</v>
      </c>
      <c r="E40" s="35">
        <v>30</v>
      </c>
      <c r="F40" s="4"/>
      <c r="G40" s="41">
        <f>IF(E40=0,0,IF(E40&lt;15,2,IF(E40&lt;30,4,IF(E40&lt;45,6,IF(E40&lt;60,8,IF(E40&gt;60,10,))))))</f>
        <v>6</v>
      </c>
      <c r="H40" s="149"/>
      <c r="I40" s="2">
        <v>10</v>
      </c>
      <c r="J40" s="127"/>
    </row>
    <row r="41" spans="1:10" x14ac:dyDescent="0.25">
      <c r="A41" t="s">
        <v>84</v>
      </c>
      <c r="B41" s="36">
        <v>2</v>
      </c>
      <c r="C41" s="1" t="s">
        <v>24</v>
      </c>
      <c r="D41" s="8"/>
      <c r="E41" s="8"/>
      <c r="F41" s="8"/>
      <c r="G41" s="8"/>
      <c r="H41" s="8"/>
      <c r="I41" s="9"/>
      <c r="J41" s="8"/>
    </row>
    <row r="42" spans="1:10" ht="30" x14ac:dyDescent="0.25">
      <c r="A42" t="s">
        <v>84</v>
      </c>
      <c r="B42" s="37">
        <v>2.1</v>
      </c>
      <c r="C42" s="3" t="s">
        <v>25</v>
      </c>
      <c r="D42" s="4" t="s">
        <v>13</v>
      </c>
      <c r="E42" s="35" t="s">
        <v>1</v>
      </c>
      <c r="F42" s="4"/>
      <c r="G42" s="41">
        <f>IF(E42="No",20,0)</f>
        <v>0</v>
      </c>
      <c r="H42" s="149">
        <f>SUM(G42:G45)*(J42/100)</f>
        <v>0</v>
      </c>
      <c r="I42" s="2">
        <v>20</v>
      </c>
      <c r="J42" s="127">
        <v>5</v>
      </c>
    </row>
    <row r="43" spans="1:10" ht="30" x14ac:dyDescent="0.25">
      <c r="A43" t="s">
        <v>84</v>
      </c>
      <c r="B43" s="37">
        <v>2.2000000000000002</v>
      </c>
      <c r="C43" s="3" t="s">
        <v>26</v>
      </c>
      <c r="D43" s="4" t="s">
        <v>80</v>
      </c>
      <c r="E43" s="35" t="s">
        <v>2</v>
      </c>
      <c r="F43" s="35" t="s">
        <v>2</v>
      </c>
      <c r="G43" s="41">
        <f>IF(E43="Yes",15,0)+IF(F43="Yes",15,0)</f>
        <v>0</v>
      </c>
      <c r="H43" s="149"/>
      <c r="I43" s="2">
        <v>30</v>
      </c>
      <c r="J43" s="127"/>
    </row>
    <row r="44" spans="1:10" ht="18.75" x14ac:dyDescent="0.25">
      <c r="A44" t="s">
        <v>84</v>
      </c>
      <c r="B44" s="37">
        <v>2.2999999999999998</v>
      </c>
      <c r="C44" s="3" t="s">
        <v>27</v>
      </c>
      <c r="D44" s="4" t="s">
        <v>13</v>
      </c>
      <c r="E44" s="35" t="s">
        <v>1</v>
      </c>
      <c r="F44" s="4"/>
      <c r="G44" s="41">
        <f>IF(E44="Yes",0,20)</f>
        <v>0</v>
      </c>
      <c r="H44" s="149"/>
      <c r="I44" s="2">
        <v>20</v>
      </c>
      <c r="J44" s="127"/>
    </row>
    <row r="45" spans="1:10" ht="30" x14ac:dyDescent="0.25">
      <c r="A45" t="s">
        <v>84</v>
      </c>
      <c r="B45" s="37">
        <v>2.4</v>
      </c>
      <c r="C45" s="3" t="s">
        <v>28</v>
      </c>
      <c r="D45" s="4" t="s">
        <v>13</v>
      </c>
      <c r="E45" s="35" t="s">
        <v>1</v>
      </c>
      <c r="F45" s="4"/>
      <c r="G45" s="41">
        <f>IF(E45="Yes",0,30)</f>
        <v>0</v>
      </c>
      <c r="H45" s="149"/>
      <c r="I45" s="2">
        <v>30</v>
      </c>
      <c r="J45" s="127"/>
    </row>
    <row r="47" spans="1:10" x14ac:dyDescent="0.25">
      <c r="A47" t="s">
        <v>83</v>
      </c>
      <c r="B47" s="11">
        <v>1</v>
      </c>
      <c r="C47" s="12" t="s">
        <v>29</v>
      </c>
      <c r="D47" s="13"/>
      <c r="E47" s="13"/>
      <c r="F47" s="14"/>
      <c r="G47" s="14"/>
      <c r="H47" s="14"/>
      <c r="I47" s="15"/>
      <c r="J47" s="13"/>
    </row>
    <row r="48" spans="1:10" ht="43.5" x14ac:dyDescent="0.25">
      <c r="A48" t="s">
        <v>83</v>
      </c>
      <c r="B48" s="10">
        <v>1.1000000000000001</v>
      </c>
      <c r="C48" s="16" t="s">
        <v>47</v>
      </c>
      <c r="D48" s="17" t="s">
        <v>30</v>
      </c>
      <c r="E48" s="35" t="s">
        <v>1</v>
      </c>
      <c r="F48" s="17"/>
      <c r="G48" s="153">
        <f>IF(E48="Yes",15,0)+IF(E49="Yes",30,0)</f>
        <v>15</v>
      </c>
      <c r="H48" s="155">
        <f>SUM(G48:G53)*(J48/100)</f>
        <v>8.6</v>
      </c>
      <c r="I48" s="18">
        <v>15</v>
      </c>
      <c r="J48" s="124">
        <v>20</v>
      </c>
    </row>
    <row r="49" spans="1:10" x14ac:dyDescent="0.25">
      <c r="A49" t="s">
        <v>83</v>
      </c>
      <c r="B49" s="10" t="s">
        <v>81</v>
      </c>
      <c r="C49" s="16" t="s">
        <v>31</v>
      </c>
      <c r="D49" s="17" t="s">
        <v>32</v>
      </c>
      <c r="E49" s="35" t="s">
        <v>2</v>
      </c>
      <c r="F49" s="17" t="s">
        <v>33</v>
      </c>
      <c r="G49" s="154"/>
      <c r="H49" s="156"/>
      <c r="I49" s="18">
        <v>30</v>
      </c>
      <c r="J49" s="125"/>
    </row>
    <row r="50" spans="1:10" ht="18.75" x14ac:dyDescent="0.25">
      <c r="A50" t="s">
        <v>83</v>
      </c>
      <c r="B50" s="10">
        <v>1.2</v>
      </c>
      <c r="C50" s="16" t="s">
        <v>34</v>
      </c>
      <c r="D50" s="17" t="s">
        <v>32</v>
      </c>
      <c r="E50" s="35">
        <v>2</v>
      </c>
      <c r="F50" s="4" t="s">
        <v>79</v>
      </c>
      <c r="G50" s="41">
        <f>IF(E50=0,0,IF(E50&lt;3,8,IF(E50&lt;5,16,IF(E50&gt;5,20))))</f>
        <v>8</v>
      </c>
      <c r="H50" s="156"/>
      <c r="I50" s="18">
        <v>20</v>
      </c>
      <c r="J50" s="125"/>
    </row>
    <row r="51" spans="1:10" ht="18.75" x14ac:dyDescent="0.25">
      <c r="A51" t="s">
        <v>83</v>
      </c>
      <c r="B51" s="10">
        <v>1.3</v>
      </c>
      <c r="C51" s="16" t="s">
        <v>35</v>
      </c>
      <c r="D51" s="18" t="s">
        <v>30</v>
      </c>
      <c r="E51" s="35" t="s">
        <v>1</v>
      </c>
      <c r="F51" s="17"/>
      <c r="G51" s="41">
        <f>IF(E51="Yes",10,0)</f>
        <v>10</v>
      </c>
      <c r="H51" s="156"/>
      <c r="I51" s="18">
        <v>10</v>
      </c>
      <c r="J51" s="125"/>
    </row>
    <row r="52" spans="1:10" ht="18.75" x14ac:dyDescent="0.25">
      <c r="A52" t="s">
        <v>83</v>
      </c>
      <c r="B52" s="10">
        <v>1.4</v>
      </c>
      <c r="C52" s="16" t="s">
        <v>36</v>
      </c>
      <c r="D52" s="18" t="s">
        <v>30</v>
      </c>
      <c r="E52" s="35" t="s">
        <v>2</v>
      </c>
      <c r="F52" s="17"/>
      <c r="G52" s="41">
        <f>IF(E52="Yes",10,0)</f>
        <v>0</v>
      </c>
      <c r="H52" s="156"/>
      <c r="I52" s="18">
        <v>10</v>
      </c>
      <c r="J52" s="125"/>
    </row>
    <row r="53" spans="1:10" ht="18.75" x14ac:dyDescent="0.25">
      <c r="A53" t="s">
        <v>83</v>
      </c>
      <c r="B53" s="10">
        <v>1.5</v>
      </c>
      <c r="C53" s="16" t="s">
        <v>37</v>
      </c>
      <c r="D53" s="18" t="s">
        <v>38</v>
      </c>
      <c r="E53" s="35">
        <v>3</v>
      </c>
      <c r="F53" s="4" t="s">
        <v>79</v>
      </c>
      <c r="G53" s="41">
        <f>IF(E53=0,0,IF(E53&lt;3,15,IF(E53&lt;5,10,IF(E53&lt;10,5,IF(E53&gt;10,0)))))</f>
        <v>10</v>
      </c>
      <c r="H53" s="157"/>
      <c r="I53" s="18">
        <v>15</v>
      </c>
      <c r="J53" s="135"/>
    </row>
    <row r="54" spans="1:10" x14ac:dyDescent="0.25">
      <c r="A54" t="s">
        <v>83</v>
      </c>
      <c r="B54" s="11">
        <v>2</v>
      </c>
      <c r="C54" s="12" t="s">
        <v>39</v>
      </c>
      <c r="D54" s="13"/>
      <c r="E54" s="13"/>
      <c r="F54" s="14"/>
      <c r="G54" s="14"/>
      <c r="H54" s="14"/>
      <c r="I54" s="15"/>
      <c r="J54" s="13"/>
    </row>
    <row r="55" spans="1:10" ht="30" x14ac:dyDescent="0.25">
      <c r="A55" t="s">
        <v>83</v>
      </c>
      <c r="B55" s="42">
        <v>2.1</v>
      </c>
      <c r="C55" s="19" t="s">
        <v>40</v>
      </c>
      <c r="D55" s="40" t="s">
        <v>82</v>
      </c>
      <c r="E55" s="35" t="s">
        <v>1</v>
      </c>
      <c r="F55" s="35" t="s">
        <v>1</v>
      </c>
      <c r="G55" s="41">
        <f>IF(E55="Yes",15,IF(E55="No",0,IF(E55="WIP",5,)))+IF(F55="Yes",5,0)</f>
        <v>20</v>
      </c>
      <c r="H55" s="150">
        <f>SUM(G55:G61)*(J55/100)</f>
        <v>8</v>
      </c>
      <c r="I55" s="18">
        <v>20</v>
      </c>
      <c r="J55" s="124">
        <v>20</v>
      </c>
    </row>
    <row r="56" spans="1:10" ht="18.75" x14ac:dyDescent="0.25">
      <c r="A56" t="s">
        <v>83</v>
      </c>
      <c r="B56" s="10">
        <v>2.2000000000000002</v>
      </c>
      <c r="C56" s="19" t="s">
        <v>41</v>
      </c>
      <c r="D56" s="17" t="s">
        <v>30</v>
      </c>
      <c r="E56" s="35" t="s">
        <v>2</v>
      </c>
      <c r="F56" s="17"/>
      <c r="G56" s="41">
        <f>IF(E56="Yes",10,0)</f>
        <v>0</v>
      </c>
      <c r="H56" s="151"/>
      <c r="I56" s="18">
        <v>10</v>
      </c>
      <c r="J56" s="125"/>
    </row>
    <row r="57" spans="1:10" ht="18.75" x14ac:dyDescent="0.25">
      <c r="A57" t="s">
        <v>83</v>
      </c>
      <c r="B57" s="10">
        <v>2.2999999999999998</v>
      </c>
      <c r="C57" s="19" t="s">
        <v>42</v>
      </c>
      <c r="D57" s="17" t="s">
        <v>30</v>
      </c>
      <c r="E57" s="35" t="s">
        <v>2</v>
      </c>
      <c r="F57" s="17"/>
      <c r="G57" s="41">
        <f>IF(E57="Yes",10,0)</f>
        <v>0</v>
      </c>
      <c r="H57" s="151"/>
      <c r="I57" s="18">
        <v>10</v>
      </c>
      <c r="J57" s="125"/>
    </row>
    <row r="58" spans="1:10" ht="18.75" x14ac:dyDescent="0.25">
      <c r="A58" t="s">
        <v>83</v>
      </c>
      <c r="B58" s="10">
        <v>2.4</v>
      </c>
      <c r="C58" s="19" t="s">
        <v>43</v>
      </c>
      <c r="D58" s="17" t="s">
        <v>38</v>
      </c>
      <c r="E58" s="35">
        <v>2</v>
      </c>
      <c r="F58" s="4" t="s">
        <v>79</v>
      </c>
      <c r="G58" s="41">
        <f>IF(E58=0,0,IF(E58&lt;8,5,IF(E58&lt;16,10,IF(E58&gt;16,15))))</f>
        <v>5</v>
      </c>
      <c r="H58" s="151"/>
      <c r="I58" s="18">
        <v>15</v>
      </c>
      <c r="J58" s="125"/>
    </row>
    <row r="59" spans="1:10" ht="18.75" x14ac:dyDescent="0.25">
      <c r="A59" t="s">
        <v>83</v>
      </c>
      <c r="B59" s="10">
        <v>2.5</v>
      </c>
      <c r="C59" s="20" t="s">
        <v>44</v>
      </c>
      <c r="D59" s="17" t="s">
        <v>30</v>
      </c>
      <c r="E59" s="35" t="s">
        <v>2</v>
      </c>
      <c r="F59" s="17"/>
      <c r="G59" s="41">
        <f>IF(E59="Yes",15,0)</f>
        <v>0</v>
      </c>
      <c r="H59" s="151"/>
      <c r="I59" s="18">
        <v>15</v>
      </c>
      <c r="J59" s="125"/>
    </row>
    <row r="60" spans="1:10" ht="18.75" x14ac:dyDescent="0.25">
      <c r="A60" t="s">
        <v>83</v>
      </c>
      <c r="B60" s="10">
        <v>2.6</v>
      </c>
      <c r="C60" s="21" t="s">
        <v>45</v>
      </c>
      <c r="D60" s="17" t="s">
        <v>7</v>
      </c>
      <c r="E60" s="35">
        <v>0</v>
      </c>
      <c r="F60" s="4" t="s">
        <v>79</v>
      </c>
      <c r="G60" s="41">
        <f>IF(E60=0,0,IF(E60&lt;5,15,IF(E60&lt;10,10,IF(E60&lt;15,5,IF(E60&gt;15,0)))))</f>
        <v>0</v>
      </c>
      <c r="H60" s="151"/>
      <c r="I60" s="18">
        <v>15</v>
      </c>
      <c r="J60" s="125"/>
    </row>
    <row r="61" spans="1:10" ht="18.75" x14ac:dyDescent="0.25">
      <c r="A61" t="s">
        <v>83</v>
      </c>
      <c r="B61" s="10">
        <v>2.7</v>
      </c>
      <c r="C61" s="20" t="s">
        <v>46</v>
      </c>
      <c r="D61" s="17" t="s">
        <v>30</v>
      </c>
      <c r="E61" s="35" t="s">
        <v>1</v>
      </c>
      <c r="F61" s="17"/>
      <c r="G61" s="41">
        <f>IF(E61="Yes",15,0)</f>
        <v>15</v>
      </c>
      <c r="H61" s="152"/>
      <c r="I61" s="18">
        <v>15</v>
      </c>
      <c r="J61" s="125"/>
    </row>
  </sheetData>
  <mergeCells count="17">
    <mergeCell ref="I7:J7"/>
    <mergeCell ref="G8:G9"/>
    <mergeCell ref="H8:H17"/>
    <mergeCell ref="J8:J16"/>
    <mergeCell ref="B18:C18"/>
    <mergeCell ref="B32:B37"/>
    <mergeCell ref="H42:H45"/>
    <mergeCell ref="J42:J45"/>
    <mergeCell ref="G48:G49"/>
    <mergeCell ref="H48:H53"/>
    <mergeCell ref="J48:J53"/>
    <mergeCell ref="H19:H24"/>
    <mergeCell ref="J19:J24"/>
    <mergeCell ref="H55:H61"/>
    <mergeCell ref="J55:J61"/>
    <mergeCell ref="H27:H40"/>
    <mergeCell ref="J27:J40"/>
  </mergeCells>
  <dataValidations count="3">
    <dataValidation type="list" allowBlank="1" showInputMessage="1" showErrorMessage="1" sqref="E8:E9 E12:E16 F13 E19:F19 E22:E24 E32 E34:F37 F43 E42:E45 E48:E49 E51:E52 F55 E56:E57 E59 E61">
      <formula1>"Yes, No"</formula1>
    </dataValidation>
    <dataValidation type="list" allowBlank="1" showInputMessage="1" showErrorMessage="1" sqref="F14 F16 F20">
      <formula1>"Monthly, Quarterly, Half Yearly, Annual"</formula1>
    </dataValidation>
    <dataValidation type="list" allowBlank="1" showInputMessage="1" showErrorMessage="1" sqref="E55">
      <formula1>"Yes, No, WIP"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>
      <selection activeCell="C8" sqref="C8"/>
    </sheetView>
  </sheetViews>
  <sheetFormatPr defaultRowHeight="15" x14ac:dyDescent="0.25"/>
  <cols>
    <col min="1" max="1" width="12.42578125" bestFit="1" customWidth="1"/>
    <col min="3" max="3" width="57.42578125" customWidth="1"/>
    <col min="4" max="4" width="26.5703125" customWidth="1"/>
    <col min="5" max="5" width="10.42578125" bestFit="1" customWidth="1"/>
    <col min="6" max="6" width="48.5703125" customWidth="1"/>
  </cols>
  <sheetData>
    <row r="2" spans="1:10" x14ac:dyDescent="0.25">
      <c r="A2" s="23" t="s">
        <v>85</v>
      </c>
      <c r="B2">
        <v>40</v>
      </c>
      <c r="C2">
        <f>(H8+H19)*(B2/100)</f>
        <v>14</v>
      </c>
    </row>
    <row r="3" spans="1:10" x14ac:dyDescent="0.25">
      <c r="A3" s="44" t="s">
        <v>84</v>
      </c>
      <c r="B3">
        <v>30</v>
      </c>
      <c r="C3">
        <f>(H27+H42)*(B3/100)</f>
        <v>4.5</v>
      </c>
    </row>
    <row r="4" spans="1:10" x14ac:dyDescent="0.25">
      <c r="A4" s="11" t="s">
        <v>83</v>
      </c>
      <c r="B4">
        <v>30</v>
      </c>
      <c r="C4">
        <f>(H48+H55)*(B4/100)</f>
        <v>12</v>
      </c>
    </row>
    <row r="5" spans="1:10" x14ac:dyDescent="0.25">
      <c r="A5" s="43" t="s">
        <v>86</v>
      </c>
      <c r="B5">
        <f>SUM(B2:B4)</f>
        <v>100</v>
      </c>
      <c r="C5">
        <f>SUM(C2:C4)</f>
        <v>30.5</v>
      </c>
    </row>
    <row r="7" spans="1:10" x14ac:dyDescent="0.25">
      <c r="A7" t="s">
        <v>85</v>
      </c>
      <c r="B7" s="23">
        <v>1</v>
      </c>
      <c r="C7" s="22" t="s">
        <v>48</v>
      </c>
      <c r="D7" s="22" t="s">
        <v>3</v>
      </c>
      <c r="E7" s="22" t="s">
        <v>0</v>
      </c>
      <c r="F7" s="22" t="s">
        <v>4</v>
      </c>
      <c r="G7" s="22"/>
      <c r="H7" s="22"/>
      <c r="I7" s="141" t="s">
        <v>49</v>
      </c>
      <c r="J7" s="141"/>
    </row>
    <row r="8" spans="1:10" ht="45" x14ac:dyDescent="0.25">
      <c r="A8" t="s">
        <v>85</v>
      </c>
      <c r="B8" s="27">
        <v>1.1000000000000001</v>
      </c>
      <c r="C8" s="24" t="s">
        <v>50</v>
      </c>
      <c r="D8" s="25" t="s">
        <v>30</v>
      </c>
      <c r="E8" s="35" t="s">
        <v>1</v>
      </c>
      <c r="F8" s="25"/>
      <c r="G8" s="158">
        <f>IF(E8="Yes",5,0)+IF(E9="Yes",5,0)</f>
        <v>10</v>
      </c>
      <c r="H8" s="149">
        <f>SUM(G8:G17)*(J8/100)</f>
        <v>20</v>
      </c>
      <c r="I8" s="27">
        <v>10</v>
      </c>
      <c r="J8" s="142">
        <v>20</v>
      </c>
    </row>
    <row r="9" spans="1:10" ht="30" x14ac:dyDescent="0.25">
      <c r="A9" t="s">
        <v>85</v>
      </c>
      <c r="B9" s="27"/>
      <c r="C9" s="24" t="s">
        <v>72</v>
      </c>
      <c r="D9" s="25" t="s">
        <v>51</v>
      </c>
      <c r="E9" s="35" t="s">
        <v>1</v>
      </c>
      <c r="F9" s="25" t="s">
        <v>52</v>
      </c>
      <c r="G9" s="158"/>
      <c r="H9" s="149"/>
      <c r="I9" s="27"/>
      <c r="J9" s="142"/>
    </row>
    <row r="10" spans="1:10" ht="30" x14ac:dyDescent="0.25">
      <c r="A10" t="s">
        <v>85</v>
      </c>
      <c r="B10" s="28">
        <v>1.2</v>
      </c>
      <c r="C10" s="24" t="s">
        <v>53</v>
      </c>
      <c r="D10" s="24" t="s">
        <v>73</v>
      </c>
      <c r="E10" s="35" t="s">
        <v>92</v>
      </c>
      <c r="F10" s="24" t="s">
        <v>74</v>
      </c>
      <c r="G10" s="41">
        <f>IF(E10=0,0,IF(E10&lt;3,8,IF(E10&lt;5,15,IF(E10&gt;5,20))))</f>
        <v>20</v>
      </c>
      <c r="H10" s="149"/>
      <c r="I10" s="27">
        <v>20</v>
      </c>
      <c r="J10" s="142"/>
    </row>
    <row r="11" spans="1:10" ht="105" x14ac:dyDescent="0.25">
      <c r="A11" t="s">
        <v>85</v>
      </c>
      <c r="B11" s="27">
        <v>1.3</v>
      </c>
      <c r="C11" s="29" t="s">
        <v>54</v>
      </c>
      <c r="D11" s="30" t="s">
        <v>55</v>
      </c>
      <c r="E11" s="35">
        <v>6</v>
      </c>
      <c r="F11" s="31" t="s">
        <v>56</v>
      </c>
      <c r="G11" s="41">
        <f>IF(E11=0,0,IF(E11&lt;3,8,IF(E11&lt;5,15,IF(E11&gt;5,20))))</f>
        <v>20</v>
      </c>
      <c r="H11" s="149"/>
      <c r="I11" s="32">
        <v>20</v>
      </c>
      <c r="J11" s="142"/>
    </row>
    <row r="12" spans="1:10" ht="30" x14ac:dyDescent="0.25">
      <c r="A12" t="s">
        <v>85</v>
      </c>
      <c r="B12" s="27" t="s">
        <v>57</v>
      </c>
      <c r="C12" s="29" t="s">
        <v>58</v>
      </c>
      <c r="D12" s="30" t="s">
        <v>30</v>
      </c>
      <c r="E12" s="35" t="s">
        <v>2</v>
      </c>
      <c r="F12" s="31"/>
      <c r="G12" s="41">
        <f>IF(E12="Yes",0,10)</f>
        <v>10</v>
      </c>
      <c r="H12" s="149"/>
      <c r="I12" s="32">
        <v>10</v>
      </c>
      <c r="J12" s="142"/>
    </row>
    <row r="13" spans="1:10" ht="45" x14ac:dyDescent="0.25">
      <c r="A13" t="s">
        <v>85</v>
      </c>
      <c r="B13" s="27" t="s">
        <v>59</v>
      </c>
      <c r="C13" s="24" t="s">
        <v>60</v>
      </c>
      <c r="D13" s="25" t="s">
        <v>75</v>
      </c>
      <c r="E13" s="35" t="s">
        <v>1</v>
      </c>
      <c r="F13" s="35" t="s">
        <v>1</v>
      </c>
      <c r="G13" s="41">
        <f>IF(E13="Yes",5,0)+IF(F13="Yes",5,0)</f>
        <v>10</v>
      </c>
      <c r="H13" s="149"/>
      <c r="I13" s="27">
        <v>10</v>
      </c>
      <c r="J13" s="142"/>
    </row>
    <row r="14" spans="1:10" ht="30" x14ac:dyDescent="0.25">
      <c r="A14" t="s">
        <v>85</v>
      </c>
      <c r="B14" s="27">
        <v>1.6</v>
      </c>
      <c r="C14" s="24" t="s">
        <v>76</v>
      </c>
      <c r="D14" s="24" t="s">
        <v>61</v>
      </c>
      <c r="E14" s="35" t="s">
        <v>1</v>
      </c>
      <c r="F14" s="35" t="s">
        <v>88</v>
      </c>
      <c r="G14" s="41">
        <f>IF(E14="Yes",5,0)+(IF(F14="Monthly",5,IF(F14="Quarterly",4,IF(F14="Half Yearly",3,IF(F14="Annual",2,0)))))</f>
        <v>10</v>
      </c>
      <c r="H14" s="149"/>
      <c r="I14" s="27">
        <v>10</v>
      </c>
      <c r="J14" s="142"/>
    </row>
    <row r="15" spans="1:10" ht="30" x14ac:dyDescent="0.25">
      <c r="A15" t="s">
        <v>85</v>
      </c>
      <c r="B15" s="27">
        <v>1.7</v>
      </c>
      <c r="C15" s="24" t="s">
        <v>62</v>
      </c>
      <c r="D15" s="25" t="s">
        <v>30</v>
      </c>
      <c r="E15" s="35" t="s">
        <v>1</v>
      </c>
      <c r="F15" s="25" t="s">
        <v>63</v>
      </c>
      <c r="G15" s="41">
        <f>IF(E15="Yes",10,0)</f>
        <v>10</v>
      </c>
      <c r="H15" s="149"/>
      <c r="I15" s="27">
        <v>10</v>
      </c>
      <c r="J15" s="142"/>
    </row>
    <row r="16" spans="1:10" ht="30" x14ac:dyDescent="0.25">
      <c r="A16" t="s">
        <v>85</v>
      </c>
      <c r="B16" s="27">
        <v>1.8</v>
      </c>
      <c r="C16" s="24" t="s">
        <v>77</v>
      </c>
      <c r="D16" s="24" t="s">
        <v>61</v>
      </c>
      <c r="E16" s="35" t="s">
        <v>1</v>
      </c>
      <c r="F16" s="35" t="s">
        <v>88</v>
      </c>
      <c r="G16" s="47">
        <f>IF(E16="Yes",5,0)+(IF(F16="Monthly",5,IF(F16="Quarterly",4,IF(F16="Half Yearly",3,IF(F16="Annual",2,0)))))</f>
        <v>10</v>
      </c>
      <c r="H16" s="149"/>
      <c r="I16" s="27">
        <v>10</v>
      </c>
      <c r="J16" s="142"/>
    </row>
    <row r="17" spans="1:10" ht="18.75" x14ac:dyDescent="0.25">
      <c r="A17" t="s">
        <v>85</v>
      </c>
      <c r="B17" s="27"/>
      <c r="C17" s="24"/>
      <c r="D17" s="25"/>
      <c r="E17" s="25"/>
      <c r="F17" s="25"/>
      <c r="G17" s="41"/>
      <c r="H17" s="149"/>
      <c r="I17" s="26"/>
      <c r="J17" s="26"/>
    </row>
    <row r="18" spans="1:10" ht="18.75" x14ac:dyDescent="0.25">
      <c r="A18" t="s">
        <v>85</v>
      </c>
      <c r="B18" s="143" t="s">
        <v>64</v>
      </c>
      <c r="C18" s="143"/>
      <c r="D18" s="22"/>
      <c r="E18" s="22"/>
      <c r="F18" s="22"/>
      <c r="G18" s="41"/>
      <c r="H18" s="39"/>
      <c r="I18" s="22"/>
      <c r="J18" s="22"/>
    </row>
    <row r="19" spans="1:10" ht="60" x14ac:dyDescent="0.25">
      <c r="A19" t="s">
        <v>85</v>
      </c>
      <c r="B19" s="33">
        <v>2.1</v>
      </c>
      <c r="C19" s="24" t="s">
        <v>65</v>
      </c>
      <c r="D19" s="25" t="s">
        <v>75</v>
      </c>
      <c r="E19" s="35" t="s">
        <v>1</v>
      </c>
      <c r="F19" s="35" t="s">
        <v>1</v>
      </c>
      <c r="G19" s="41">
        <f>IF(E19="Yes",15,0)+IF(F19="Yes",15,0)</f>
        <v>30</v>
      </c>
      <c r="H19" s="149">
        <f>SUM(G19:G24)*(J19/100)</f>
        <v>15</v>
      </c>
      <c r="I19" s="34">
        <v>30</v>
      </c>
      <c r="J19" s="128">
        <v>15</v>
      </c>
    </row>
    <row r="20" spans="1:10" ht="45" x14ac:dyDescent="0.25">
      <c r="A20" t="s">
        <v>85</v>
      </c>
      <c r="B20" s="27">
        <v>2.2000000000000002</v>
      </c>
      <c r="C20" s="24" t="s">
        <v>66</v>
      </c>
      <c r="D20" s="24" t="s">
        <v>61</v>
      </c>
      <c r="E20" s="24"/>
      <c r="F20" s="35" t="s">
        <v>88</v>
      </c>
      <c r="G20" s="41">
        <f>(IF(F20="Monthly",15,IF(F20="Quarterly",12,IF(F20="Half Yearly",9,IF(F20="Annual",6,0)))))</f>
        <v>15</v>
      </c>
      <c r="H20" s="149"/>
      <c r="I20" s="26">
        <v>15</v>
      </c>
      <c r="J20" s="128"/>
    </row>
    <row r="21" spans="1:10" ht="30" x14ac:dyDescent="0.25">
      <c r="A21" t="s">
        <v>85</v>
      </c>
      <c r="B21" s="27">
        <v>2.2999999999999998</v>
      </c>
      <c r="C21" s="24" t="s">
        <v>67</v>
      </c>
      <c r="D21" s="24" t="s">
        <v>32</v>
      </c>
      <c r="E21" s="35" t="s">
        <v>94</v>
      </c>
      <c r="F21" s="24" t="s">
        <v>74</v>
      </c>
      <c r="G21" s="41">
        <f>IF(E21=0,0,IF(E21&lt;3,8,IF(E21&lt;5,15,IF(E21&gt;5,20))))</f>
        <v>20</v>
      </c>
      <c r="H21" s="149"/>
      <c r="I21" s="26">
        <v>20</v>
      </c>
      <c r="J21" s="128"/>
    </row>
    <row r="22" spans="1:10" ht="18.75" x14ac:dyDescent="0.25">
      <c r="A22" t="s">
        <v>85</v>
      </c>
      <c r="B22" s="27">
        <v>2.4</v>
      </c>
      <c r="C22" s="24" t="s">
        <v>68</v>
      </c>
      <c r="D22" s="24" t="s">
        <v>69</v>
      </c>
      <c r="E22" s="35" t="s">
        <v>1</v>
      </c>
      <c r="F22" s="24" t="s">
        <v>78</v>
      </c>
      <c r="G22" s="41">
        <f>IF(E22="Yes",10,0)</f>
        <v>10</v>
      </c>
      <c r="H22" s="149"/>
      <c r="I22" s="26">
        <v>10</v>
      </c>
      <c r="J22" s="128"/>
    </row>
    <row r="23" spans="1:10" ht="30" x14ac:dyDescent="0.25">
      <c r="A23" t="s">
        <v>85</v>
      </c>
      <c r="B23" s="27">
        <v>2.5</v>
      </c>
      <c r="C23" s="24" t="s">
        <v>70</v>
      </c>
      <c r="D23" s="24" t="s">
        <v>69</v>
      </c>
      <c r="E23" s="35" t="s">
        <v>1</v>
      </c>
      <c r="F23" s="24" t="s">
        <v>78</v>
      </c>
      <c r="G23" s="41">
        <f>IF(E23="Yes",10,0)</f>
        <v>10</v>
      </c>
      <c r="H23" s="149"/>
      <c r="I23" s="26">
        <v>10</v>
      </c>
      <c r="J23" s="128"/>
    </row>
    <row r="24" spans="1:10" ht="30" x14ac:dyDescent="0.25">
      <c r="A24" t="s">
        <v>85</v>
      </c>
      <c r="B24" s="27">
        <v>2.6</v>
      </c>
      <c r="C24" s="24" t="s">
        <v>71</v>
      </c>
      <c r="D24" s="24" t="s">
        <v>30</v>
      </c>
      <c r="E24" s="35" t="s">
        <v>1</v>
      </c>
      <c r="F24" s="24"/>
      <c r="G24" s="41">
        <f>IF(E24="Yes",15,0)</f>
        <v>15</v>
      </c>
      <c r="H24" s="149"/>
      <c r="I24" s="26">
        <v>15</v>
      </c>
      <c r="J24" s="128"/>
    </row>
    <row r="26" spans="1:10" x14ac:dyDescent="0.25">
      <c r="A26" t="s">
        <v>84</v>
      </c>
      <c r="B26" s="36">
        <v>1</v>
      </c>
      <c r="C26" s="1" t="s">
        <v>5</v>
      </c>
      <c r="D26" s="8"/>
      <c r="E26" s="8"/>
      <c r="F26" s="8"/>
      <c r="G26" s="8"/>
      <c r="H26" s="8"/>
      <c r="I26" s="9"/>
      <c r="J26" s="8"/>
    </row>
    <row r="27" spans="1:10" ht="30" x14ac:dyDescent="0.25">
      <c r="A27" t="s">
        <v>84</v>
      </c>
      <c r="B27" s="37">
        <v>1.1000000000000001</v>
      </c>
      <c r="C27" s="3" t="s">
        <v>6</v>
      </c>
      <c r="D27" s="4" t="s">
        <v>7</v>
      </c>
      <c r="E27" s="35">
        <v>20</v>
      </c>
      <c r="F27" s="4" t="s">
        <v>79</v>
      </c>
      <c r="G27" s="41">
        <f>IF(E27=0,0,IF(E27&lt;5,6,IF(E27&lt;10,8,IF(E27&gt;10,10))))</f>
        <v>10</v>
      </c>
      <c r="H27" s="149">
        <f>SUM(G27:G40)*(J27/100)</f>
        <v>10</v>
      </c>
      <c r="I27" s="2">
        <v>10</v>
      </c>
      <c r="J27" s="127">
        <v>10</v>
      </c>
    </row>
    <row r="28" spans="1:10" ht="30" x14ac:dyDescent="0.25">
      <c r="A28" t="s">
        <v>84</v>
      </c>
      <c r="B28" s="37">
        <v>1.2</v>
      </c>
      <c r="C28" s="3" t="s">
        <v>8</v>
      </c>
      <c r="D28" s="4" t="s">
        <v>7</v>
      </c>
      <c r="E28" s="35">
        <v>15</v>
      </c>
      <c r="F28" s="4" t="s">
        <v>79</v>
      </c>
      <c r="G28" s="41">
        <f>IF(E28=0,0,IF(E28&lt;5,6,IF(E28&lt;10,8,IF(E28&gt;10,10))))</f>
        <v>10</v>
      </c>
      <c r="H28" s="149"/>
      <c r="I28" s="2">
        <v>10</v>
      </c>
      <c r="J28" s="127"/>
    </row>
    <row r="29" spans="1:10" ht="30" x14ac:dyDescent="0.25">
      <c r="A29" t="s">
        <v>84</v>
      </c>
      <c r="B29" s="37">
        <v>1.3</v>
      </c>
      <c r="C29" s="3" t="s">
        <v>9</v>
      </c>
      <c r="D29" s="4" t="s">
        <v>7</v>
      </c>
      <c r="E29" s="35">
        <v>11</v>
      </c>
      <c r="F29" s="4" t="s">
        <v>79</v>
      </c>
      <c r="G29" s="41">
        <f>IF(E29=0,0,IF(E29&lt;5,6,IF(E29&lt;10,8,IF(E29&gt;10,10))))</f>
        <v>10</v>
      </c>
      <c r="H29" s="149"/>
      <c r="I29" s="2">
        <v>10</v>
      </c>
      <c r="J29" s="127"/>
    </row>
    <row r="30" spans="1:10" ht="30" x14ac:dyDescent="0.25">
      <c r="A30" t="s">
        <v>84</v>
      </c>
      <c r="B30" s="37">
        <v>1.4</v>
      </c>
      <c r="C30" s="3" t="s">
        <v>10</v>
      </c>
      <c r="D30" s="4" t="s">
        <v>7</v>
      </c>
      <c r="E30" s="35">
        <v>11</v>
      </c>
      <c r="F30" s="4" t="s">
        <v>79</v>
      </c>
      <c r="G30" s="41">
        <f>IF(E30=0,0,IF(E30&lt;5,6,IF(E30&lt;10,8,IF(E30&gt;10,10))))</f>
        <v>10</v>
      </c>
      <c r="H30" s="149"/>
      <c r="I30" s="2">
        <v>10</v>
      </c>
      <c r="J30" s="127"/>
    </row>
    <row r="31" spans="1:10" ht="45" x14ac:dyDescent="0.25">
      <c r="A31" t="s">
        <v>84</v>
      </c>
      <c r="B31" s="37">
        <v>1.5</v>
      </c>
      <c r="C31" s="3" t="s">
        <v>11</v>
      </c>
      <c r="D31" s="4" t="s">
        <v>7</v>
      </c>
      <c r="E31" s="35">
        <v>1</v>
      </c>
      <c r="F31" s="4"/>
      <c r="G31" s="41">
        <f>IF(E31=0,0,IF(E31&lt;5,10,IF(E31&lt;10,6,IF(E31&gt;10,2))))</f>
        <v>10</v>
      </c>
      <c r="H31" s="149"/>
      <c r="I31" s="2">
        <v>10</v>
      </c>
      <c r="J31" s="127"/>
    </row>
    <row r="32" spans="1:10" ht="45" x14ac:dyDescent="0.25">
      <c r="A32" t="s">
        <v>84</v>
      </c>
      <c r="B32" s="129">
        <v>1.6</v>
      </c>
      <c r="C32" s="5" t="s">
        <v>12</v>
      </c>
      <c r="D32" s="6" t="s">
        <v>13</v>
      </c>
      <c r="E32" s="35" t="s">
        <v>1</v>
      </c>
      <c r="F32" s="4" t="s">
        <v>14</v>
      </c>
      <c r="G32" s="41">
        <f>IF(E32="Yes",0,0)+IF(E34="Yes",2,0)+IF(E35="Yes",2,0)+IF(E36="Yes",2,0)+IF(E37="Yes",2,0)+IF(F34="Yes",3,0)+IF(F35="Yes",3,0)+IF(F36="Yes",3,0)+IF(F37="Yes",3,0)</f>
        <v>20</v>
      </c>
      <c r="H32" s="149"/>
      <c r="I32" s="2" t="s">
        <v>15</v>
      </c>
      <c r="J32" s="127"/>
    </row>
    <row r="33" spans="1:10" ht="18.75" x14ac:dyDescent="0.25">
      <c r="A33" t="s">
        <v>84</v>
      </c>
      <c r="B33" s="129"/>
      <c r="C33" s="3" t="s">
        <v>16</v>
      </c>
      <c r="D33" s="4"/>
      <c r="E33" s="4"/>
      <c r="F33" s="4"/>
      <c r="G33" s="41"/>
      <c r="H33" s="149"/>
      <c r="I33" s="2"/>
      <c r="J33" s="127"/>
    </row>
    <row r="34" spans="1:10" ht="18.75" x14ac:dyDescent="0.25">
      <c r="A34" t="s">
        <v>84</v>
      </c>
      <c r="B34" s="129"/>
      <c r="C34" s="3" t="s">
        <v>17</v>
      </c>
      <c r="D34" s="4" t="s">
        <v>13</v>
      </c>
      <c r="E34" s="35" t="s">
        <v>1</v>
      </c>
      <c r="F34" s="35" t="s">
        <v>1</v>
      </c>
      <c r="G34" s="41"/>
      <c r="H34" s="149"/>
      <c r="I34" s="2"/>
      <c r="J34" s="127"/>
    </row>
    <row r="35" spans="1:10" ht="18.75" x14ac:dyDescent="0.25">
      <c r="A35" t="s">
        <v>84</v>
      </c>
      <c r="B35" s="129"/>
      <c r="C35" s="3" t="s">
        <v>18</v>
      </c>
      <c r="D35" s="4" t="s">
        <v>13</v>
      </c>
      <c r="E35" s="35" t="s">
        <v>1</v>
      </c>
      <c r="F35" s="35" t="s">
        <v>1</v>
      </c>
      <c r="G35" s="41"/>
      <c r="H35" s="149"/>
      <c r="I35" s="2"/>
      <c r="J35" s="127"/>
    </row>
    <row r="36" spans="1:10" ht="18.75" x14ac:dyDescent="0.25">
      <c r="A36" t="s">
        <v>84</v>
      </c>
      <c r="B36" s="129"/>
      <c r="C36" s="3" t="s">
        <v>19</v>
      </c>
      <c r="D36" s="4" t="s">
        <v>13</v>
      </c>
      <c r="E36" s="35" t="s">
        <v>1</v>
      </c>
      <c r="F36" s="35" t="s">
        <v>1</v>
      </c>
      <c r="G36" s="41"/>
      <c r="H36" s="149"/>
      <c r="I36" s="2"/>
      <c r="J36" s="127"/>
    </row>
    <row r="37" spans="1:10" ht="18.75" x14ac:dyDescent="0.25">
      <c r="A37" t="s">
        <v>84</v>
      </c>
      <c r="B37" s="129"/>
      <c r="C37" s="3" t="s">
        <v>20</v>
      </c>
      <c r="D37" s="4" t="s">
        <v>13</v>
      </c>
      <c r="E37" s="35" t="s">
        <v>1</v>
      </c>
      <c r="F37" s="35" t="s">
        <v>1</v>
      </c>
      <c r="G37" s="41"/>
      <c r="H37" s="149"/>
      <c r="I37" s="2"/>
      <c r="J37" s="127"/>
    </row>
    <row r="38" spans="1:10" ht="18.75" x14ac:dyDescent="0.25">
      <c r="A38" t="s">
        <v>84</v>
      </c>
      <c r="B38" s="38">
        <v>1.7</v>
      </c>
      <c r="C38" s="7" t="s">
        <v>21</v>
      </c>
      <c r="D38" s="4" t="s">
        <v>7</v>
      </c>
      <c r="E38" s="35">
        <v>1</v>
      </c>
      <c r="F38" s="4"/>
      <c r="G38" s="41">
        <f>IF(E38=0,0,IF(E38&lt;5,10,IF(E38&lt;10,6,IF(E38&gt;10,2))))</f>
        <v>10</v>
      </c>
      <c r="H38" s="149"/>
      <c r="I38" s="2">
        <v>10</v>
      </c>
      <c r="J38" s="127"/>
    </row>
    <row r="39" spans="1:10" ht="30" x14ac:dyDescent="0.25">
      <c r="A39" t="s">
        <v>84</v>
      </c>
      <c r="B39" s="38">
        <v>1.8</v>
      </c>
      <c r="C39" s="3" t="s">
        <v>22</v>
      </c>
      <c r="D39" s="4" t="s">
        <v>7</v>
      </c>
      <c r="E39" s="35">
        <v>80</v>
      </c>
      <c r="F39" s="4"/>
      <c r="G39" s="41">
        <f>IF(E39=0,0,IF(E39&lt;25,2,IF(E39&lt;40,4,IF(E39&lt;55,6,IF(E39&lt;70,8,IF(E39&gt;70,10))))))</f>
        <v>10</v>
      </c>
      <c r="H39" s="149"/>
      <c r="I39" s="2">
        <v>10</v>
      </c>
      <c r="J39" s="127"/>
    </row>
    <row r="40" spans="1:10" ht="45" x14ac:dyDescent="0.25">
      <c r="A40" t="s">
        <v>84</v>
      </c>
      <c r="B40" s="38">
        <v>1.9</v>
      </c>
      <c r="C40" s="4" t="s">
        <v>23</v>
      </c>
      <c r="D40" s="4" t="s">
        <v>7</v>
      </c>
      <c r="E40" s="35">
        <v>65</v>
      </c>
      <c r="F40" s="4"/>
      <c r="G40" s="41">
        <f>IF(E40=0,0,IF(E40&lt;15,2,IF(E40&lt;30,4,IF(E40&lt;45,6,IF(E40&lt;60,8,IF(E40&gt;60,10,))))))</f>
        <v>10</v>
      </c>
      <c r="H40" s="149"/>
      <c r="I40" s="2">
        <v>10</v>
      </c>
      <c r="J40" s="127"/>
    </row>
    <row r="41" spans="1:10" x14ac:dyDescent="0.25">
      <c r="A41" t="s">
        <v>84</v>
      </c>
      <c r="B41" s="36">
        <v>2</v>
      </c>
      <c r="C41" s="1" t="s">
        <v>24</v>
      </c>
      <c r="D41" s="8"/>
      <c r="E41" s="8"/>
      <c r="F41" s="8"/>
      <c r="G41" s="8"/>
      <c r="H41" s="8"/>
      <c r="I41" s="9"/>
      <c r="J41" s="8"/>
    </row>
    <row r="42" spans="1:10" ht="30" x14ac:dyDescent="0.25">
      <c r="A42" t="s">
        <v>84</v>
      </c>
      <c r="B42" s="37">
        <v>2.1</v>
      </c>
      <c r="C42" s="3" t="s">
        <v>25</v>
      </c>
      <c r="D42" s="4" t="s">
        <v>13</v>
      </c>
      <c r="E42" s="35" t="s">
        <v>2</v>
      </c>
      <c r="F42" s="4"/>
      <c r="G42" s="41">
        <f>IF(E42="No",20,0)</f>
        <v>20</v>
      </c>
      <c r="H42" s="149">
        <f>SUM(G42:G45)*(J42/100)</f>
        <v>5</v>
      </c>
      <c r="I42" s="2">
        <v>20</v>
      </c>
      <c r="J42" s="127">
        <v>5</v>
      </c>
    </row>
    <row r="43" spans="1:10" ht="30" x14ac:dyDescent="0.25">
      <c r="A43" t="s">
        <v>84</v>
      </c>
      <c r="B43" s="37">
        <v>2.2000000000000002</v>
      </c>
      <c r="C43" s="3" t="s">
        <v>26</v>
      </c>
      <c r="D43" s="4" t="s">
        <v>80</v>
      </c>
      <c r="E43" s="35" t="s">
        <v>1</v>
      </c>
      <c r="F43" s="35" t="s">
        <v>1</v>
      </c>
      <c r="G43" s="41">
        <f>IF(E43="Yes",15,0)+IF(F43="Yes",15,0)</f>
        <v>30</v>
      </c>
      <c r="H43" s="149"/>
      <c r="I43" s="2">
        <v>30</v>
      </c>
      <c r="J43" s="127"/>
    </row>
    <row r="44" spans="1:10" ht="18.75" x14ac:dyDescent="0.25">
      <c r="A44" t="s">
        <v>84</v>
      </c>
      <c r="B44" s="37">
        <v>2.2999999999999998</v>
      </c>
      <c r="C44" s="3" t="s">
        <v>27</v>
      </c>
      <c r="D44" s="4" t="s">
        <v>13</v>
      </c>
      <c r="E44" s="35" t="s">
        <v>2</v>
      </c>
      <c r="F44" s="4"/>
      <c r="G44" s="41">
        <f>IF(E44="Yes",0,20)</f>
        <v>20</v>
      </c>
      <c r="H44" s="149"/>
      <c r="I44" s="2">
        <v>20</v>
      </c>
      <c r="J44" s="127"/>
    </row>
    <row r="45" spans="1:10" ht="30" x14ac:dyDescent="0.25">
      <c r="A45" t="s">
        <v>84</v>
      </c>
      <c r="B45" s="37">
        <v>2.4</v>
      </c>
      <c r="C45" s="3" t="s">
        <v>28</v>
      </c>
      <c r="D45" s="4" t="s">
        <v>13</v>
      </c>
      <c r="E45" s="35" t="s">
        <v>2</v>
      </c>
      <c r="F45" s="4"/>
      <c r="G45" s="41">
        <f>IF(E45="Yes",0,30)</f>
        <v>30</v>
      </c>
      <c r="H45" s="149"/>
      <c r="I45" s="2">
        <v>30</v>
      </c>
      <c r="J45" s="127"/>
    </row>
    <row r="47" spans="1:10" x14ac:dyDescent="0.25">
      <c r="A47" t="s">
        <v>83</v>
      </c>
      <c r="B47" s="11">
        <v>1</v>
      </c>
      <c r="C47" s="12" t="s">
        <v>29</v>
      </c>
      <c r="D47" s="13"/>
      <c r="E47" s="13"/>
      <c r="F47" s="14"/>
      <c r="G47" s="14"/>
      <c r="H47" s="14"/>
      <c r="I47" s="15"/>
      <c r="J47" s="13"/>
    </row>
    <row r="48" spans="1:10" ht="43.5" x14ac:dyDescent="0.25">
      <c r="A48" t="s">
        <v>83</v>
      </c>
      <c r="B48" s="10">
        <v>1.1000000000000001</v>
      </c>
      <c r="C48" s="16" t="s">
        <v>47</v>
      </c>
      <c r="D48" s="17" t="s">
        <v>30</v>
      </c>
      <c r="E48" s="35" t="s">
        <v>1</v>
      </c>
      <c r="F48" s="17"/>
      <c r="G48" s="153">
        <f>IF(E48="Yes",15,0)+IF(E49="Yes",30,0)</f>
        <v>45</v>
      </c>
      <c r="H48" s="155">
        <f>SUM(G48:G53)*(J48/100)</f>
        <v>20</v>
      </c>
      <c r="I48" s="18">
        <v>15</v>
      </c>
      <c r="J48" s="124">
        <v>20</v>
      </c>
    </row>
    <row r="49" spans="1:10" x14ac:dyDescent="0.25">
      <c r="A49" t="s">
        <v>83</v>
      </c>
      <c r="B49" s="10" t="s">
        <v>81</v>
      </c>
      <c r="C49" s="16" t="s">
        <v>31</v>
      </c>
      <c r="D49" s="17" t="s">
        <v>32</v>
      </c>
      <c r="E49" s="35" t="s">
        <v>1</v>
      </c>
      <c r="F49" s="17" t="s">
        <v>33</v>
      </c>
      <c r="G49" s="154"/>
      <c r="H49" s="156"/>
      <c r="I49" s="18">
        <v>30</v>
      </c>
      <c r="J49" s="125"/>
    </row>
    <row r="50" spans="1:10" ht="18.75" x14ac:dyDescent="0.25">
      <c r="A50" t="s">
        <v>83</v>
      </c>
      <c r="B50" s="10">
        <v>1.2</v>
      </c>
      <c r="C50" s="16" t="s">
        <v>34</v>
      </c>
      <c r="D50" s="17" t="s">
        <v>32</v>
      </c>
      <c r="E50" s="35">
        <v>10</v>
      </c>
      <c r="F50" s="4" t="s">
        <v>79</v>
      </c>
      <c r="G50" s="41">
        <f>IF(E50=0,0,IF(E50&lt;3,8,IF(E50&lt;5,16,IF(E50&gt;5,20))))</f>
        <v>20</v>
      </c>
      <c r="H50" s="156"/>
      <c r="I50" s="18">
        <v>20</v>
      </c>
      <c r="J50" s="125"/>
    </row>
    <row r="51" spans="1:10" ht="18.75" x14ac:dyDescent="0.25">
      <c r="A51" t="s">
        <v>83</v>
      </c>
      <c r="B51" s="10">
        <v>1.3</v>
      </c>
      <c r="C51" s="16" t="s">
        <v>35</v>
      </c>
      <c r="D51" s="18" t="s">
        <v>30</v>
      </c>
      <c r="E51" s="35" t="s">
        <v>1</v>
      </c>
      <c r="F51" s="17"/>
      <c r="G51" s="41">
        <f>IF(E51="Yes",10,0)</f>
        <v>10</v>
      </c>
      <c r="H51" s="156"/>
      <c r="I51" s="18">
        <v>10</v>
      </c>
      <c r="J51" s="125"/>
    </row>
    <row r="52" spans="1:10" ht="18.75" x14ac:dyDescent="0.25">
      <c r="A52" t="s">
        <v>83</v>
      </c>
      <c r="B52" s="10">
        <v>1.4</v>
      </c>
      <c r="C52" s="16" t="s">
        <v>36</v>
      </c>
      <c r="D52" s="18" t="s">
        <v>30</v>
      </c>
      <c r="E52" s="35" t="s">
        <v>1</v>
      </c>
      <c r="F52" s="17"/>
      <c r="G52" s="41">
        <f>IF(E52="Yes",10,0)</f>
        <v>10</v>
      </c>
      <c r="H52" s="156"/>
      <c r="I52" s="18">
        <v>10</v>
      </c>
      <c r="J52" s="125"/>
    </row>
    <row r="53" spans="1:10" ht="18.75" x14ac:dyDescent="0.25">
      <c r="A53" t="s">
        <v>83</v>
      </c>
      <c r="B53" s="10">
        <v>1.5</v>
      </c>
      <c r="C53" s="16" t="s">
        <v>37</v>
      </c>
      <c r="D53" s="18" t="s">
        <v>38</v>
      </c>
      <c r="E53" s="35">
        <v>1</v>
      </c>
      <c r="F53" s="4" t="s">
        <v>79</v>
      </c>
      <c r="G53" s="41">
        <f>IF(E53=0,0,IF(E53&lt;3,15,IF(E53&lt;5,10,IF(E53&lt;10,5,IF(E53&gt;10,0)))))</f>
        <v>15</v>
      </c>
      <c r="H53" s="157"/>
      <c r="I53" s="18">
        <v>15</v>
      </c>
      <c r="J53" s="135"/>
    </row>
    <row r="54" spans="1:10" x14ac:dyDescent="0.25">
      <c r="A54" t="s">
        <v>83</v>
      </c>
      <c r="B54" s="11">
        <v>2</v>
      </c>
      <c r="C54" s="12" t="s">
        <v>39</v>
      </c>
      <c r="D54" s="13"/>
      <c r="E54" s="13"/>
      <c r="F54" s="14"/>
      <c r="G54" s="14"/>
      <c r="H54" s="14"/>
      <c r="I54" s="15"/>
      <c r="J54" s="13"/>
    </row>
    <row r="55" spans="1:10" ht="30" x14ac:dyDescent="0.25">
      <c r="A55" t="s">
        <v>83</v>
      </c>
      <c r="B55" s="42">
        <v>2.1</v>
      </c>
      <c r="C55" s="19" t="s">
        <v>40</v>
      </c>
      <c r="D55" s="40" t="s">
        <v>82</v>
      </c>
      <c r="E55" s="35" t="s">
        <v>1</v>
      </c>
      <c r="F55" s="35" t="s">
        <v>1</v>
      </c>
      <c r="G55" s="41">
        <f>IF(E55="Yes",15,IF(E55="No",0,IF(E55="WIP",5,)))+IF(F55="Yes",5,0)</f>
        <v>20</v>
      </c>
      <c r="H55" s="150">
        <f>SUM(G55:G61)*(J55/100)</f>
        <v>20</v>
      </c>
      <c r="I55" s="18">
        <v>20</v>
      </c>
      <c r="J55" s="124">
        <v>20</v>
      </c>
    </row>
    <row r="56" spans="1:10" ht="18.75" x14ac:dyDescent="0.25">
      <c r="A56" t="s">
        <v>83</v>
      </c>
      <c r="B56" s="10">
        <v>2.2000000000000002</v>
      </c>
      <c r="C56" s="19" t="s">
        <v>41</v>
      </c>
      <c r="D56" s="17" t="s">
        <v>30</v>
      </c>
      <c r="E56" s="35" t="s">
        <v>1</v>
      </c>
      <c r="F56" s="17"/>
      <c r="G56" s="41">
        <f>IF(E56="Yes",10,0)</f>
        <v>10</v>
      </c>
      <c r="H56" s="151"/>
      <c r="I56" s="18">
        <v>10</v>
      </c>
      <c r="J56" s="125"/>
    </row>
    <row r="57" spans="1:10" ht="18.75" x14ac:dyDescent="0.25">
      <c r="A57" t="s">
        <v>83</v>
      </c>
      <c r="B57" s="10">
        <v>2.2999999999999998</v>
      </c>
      <c r="C57" s="19" t="s">
        <v>42</v>
      </c>
      <c r="D57" s="17" t="s">
        <v>30</v>
      </c>
      <c r="E57" s="35" t="s">
        <v>1</v>
      </c>
      <c r="F57" s="17"/>
      <c r="G57" s="41">
        <f>IF(E57="Yes",10,0)</f>
        <v>10</v>
      </c>
      <c r="H57" s="151"/>
      <c r="I57" s="18">
        <v>10</v>
      </c>
      <c r="J57" s="125"/>
    </row>
    <row r="58" spans="1:10" ht="18.75" x14ac:dyDescent="0.25">
      <c r="A58" t="s">
        <v>83</v>
      </c>
      <c r="B58" s="10">
        <v>2.4</v>
      </c>
      <c r="C58" s="19" t="s">
        <v>43</v>
      </c>
      <c r="D58" s="17" t="s">
        <v>38</v>
      </c>
      <c r="E58" s="35">
        <v>20</v>
      </c>
      <c r="F58" s="4" t="s">
        <v>79</v>
      </c>
      <c r="G58" s="41">
        <f>IF(E58=0,0,IF(E58&lt;8,5,IF(E58&lt;16,10,IF(E58&gt;16,15))))</f>
        <v>15</v>
      </c>
      <c r="H58" s="151"/>
      <c r="I58" s="18">
        <v>15</v>
      </c>
      <c r="J58" s="125"/>
    </row>
    <row r="59" spans="1:10" ht="18.75" x14ac:dyDescent="0.25">
      <c r="A59" t="s">
        <v>83</v>
      </c>
      <c r="B59" s="10">
        <v>2.5</v>
      </c>
      <c r="C59" s="20" t="s">
        <v>44</v>
      </c>
      <c r="D59" s="17" t="s">
        <v>30</v>
      </c>
      <c r="E59" s="35" t="s">
        <v>1</v>
      </c>
      <c r="F59" s="17"/>
      <c r="G59" s="41">
        <f>IF(E59="Yes",15,0)</f>
        <v>15</v>
      </c>
      <c r="H59" s="151"/>
      <c r="I59" s="18">
        <v>15</v>
      </c>
      <c r="J59" s="125"/>
    </row>
    <row r="60" spans="1:10" ht="18.75" x14ac:dyDescent="0.25">
      <c r="A60" t="s">
        <v>83</v>
      </c>
      <c r="B60" s="10">
        <v>2.6</v>
      </c>
      <c r="C60" s="21" t="s">
        <v>45</v>
      </c>
      <c r="D60" s="17" t="s">
        <v>7</v>
      </c>
      <c r="E60" s="35">
        <v>2</v>
      </c>
      <c r="F60" s="4" t="s">
        <v>79</v>
      </c>
      <c r="G60" s="41">
        <f>IF(E60=0,0,IF(E60&lt;5,15,IF(E60&lt;10,10,IF(E60&lt;15,5,IF(E60&gt;15,0)))))</f>
        <v>15</v>
      </c>
      <c r="H60" s="151"/>
      <c r="I60" s="18">
        <v>15</v>
      </c>
      <c r="J60" s="125"/>
    </row>
    <row r="61" spans="1:10" ht="18.75" x14ac:dyDescent="0.25">
      <c r="A61" t="s">
        <v>83</v>
      </c>
      <c r="B61" s="10">
        <v>2.7</v>
      </c>
      <c r="C61" s="20" t="s">
        <v>46</v>
      </c>
      <c r="D61" s="17" t="s">
        <v>30</v>
      </c>
      <c r="E61" s="35" t="s">
        <v>1</v>
      </c>
      <c r="F61" s="17"/>
      <c r="G61" s="41">
        <f>IF(E61="Yes",15,0)</f>
        <v>15</v>
      </c>
      <c r="H61" s="152"/>
      <c r="I61" s="18">
        <v>15</v>
      </c>
      <c r="J61" s="125"/>
    </row>
  </sheetData>
  <mergeCells count="17">
    <mergeCell ref="I7:J7"/>
    <mergeCell ref="G8:G9"/>
    <mergeCell ref="H8:H17"/>
    <mergeCell ref="J8:J16"/>
    <mergeCell ref="B18:C18"/>
    <mergeCell ref="B32:B37"/>
    <mergeCell ref="H42:H45"/>
    <mergeCell ref="J42:J45"/>
    <mergeCell ref="G48:G49"/>
    <mergeCell ref="H48:H53"/>
    <mergeCell ref="J48:J53"/>
    <mergeCell ref="H19:H24"/>
    <mergeCell ref="J19:J24"/>
    <mergeCell ref="H55:H61"/>
    <mergeCell ref="J55:J61"/>
    <mergeCell ref="H27:H40"/>
    <mergeCell ref="J27:J40"/>
  </mergeCells>
  <dataValidations count="3">
    <dataValidation type="list" allowBlank="1" showInputMessage="1" showErrorMessage="1" sqref="E55">
      <formula1>"Yes, No, WIP"</formula1>
    </dataValidation>
    <dataValidation type="list" allowBlank="1" showInputMessage="1" showErrorMessage="1" sqref="F14 F16 F20">
      <formula1>"Monthly, Quarterly, Half Yearly, Annual"</formula1>
    </dataValidation>
    <dataValidation type="list" allowBlank="1" showInputMessage="1" showErrorMessage="1" sqref="E8:E9 E12:E16 F13 E19:F19 E22:E24 E32 E34:F37 F43 E42:E45 E48:E49 E51:E52 F55 E56:E57 E59 E61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2022-08-23T13:45:58Z</dcterms:modified>
</cp:coreProperties>
</file>